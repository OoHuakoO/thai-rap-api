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_คู่มือ" sheetId="1" r:id="rId5"/>
    <sheet state="visible" name="01_ข้อมูลร้าน" sheetId="2" r:id="rId6"/>
    <sheet state="visible" name="02_ประเมิน50ร้าน" sheetId="3" r:id="rId7"/>
    <sheet state="visible" name="03_สรุปคะแนน" sheetId="4" r:id="rId8"/>
    <sheet state="visible" name="04_Dashboard" sheetId="5" r:id="rId9"/>
    <sheet state="visible" name="05_QuestionMaster" sheetId="6" r:id="rId10"/>
    <sheet state="visible" name="06_Lists" sheetId="7" r:id="rId11"/>
    <sheet state="visible" name="07_Prompt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ร้านมีเมนูหลักที่ขายดีและลูกค้าจดจำได้ชัดเจน
หลักฐาน: เมนู/ยอดขาย/รีวิว</t>
      </text>
    </comment>
    <comment authorId="0" ref="F1">
      <text>
        <t xml:space="preserve">รสชาติอาหารมีความสม่ำเสมอ
หลักฐาน: ชิม/สังเกต/รีวิว</t>
      </text>
    </comment>
    <comment authorId="0" ref="G1">
      <text>
        <t xml:space="preserve">มีสูตรมาตรฐานหรือวิธีทำที่บันทึกไว้
หลักฐาน: Recipe Card/สูตร</t>
      </text>
    </comment>
    <comment authorId="0" ref="H1">
      <text>
        <t xml:space="preserve">วัตถุดิบหลักมีคุณภาพและควบคุมความสดได้
หลักฐาน: วัตถุดิบ/คลัง/ซัพพลายเออร์</t>
      </text>
    </comment>
    <comment authorId="0" ref="I1">
      <text>
        <t xml:space="preserve">เมนูมีจุดเด่นหรืออัตลักษณ์เฉพาะของร้าน
หลักฐาน: เมนู Signature/เรื่องเล่า</t>
      </text>
    </comment>
    <comment authorId="0" ref="J1">
      <text>
        <t xml:space="preserve">มีการรับฟังความคิดเห็นลูกค้าเพื่อนำมาปรับเมนู
หลักฐาน: รีวิว/แบบสอบถาม/แชต</t>
      </text>
    </comment>
    <comment authorId="0" ref="K1">
      <text>
        <t xml:space="preserve">มีโอกาสพัฒนาเมนู Signature หรือเมนูใหม่เพื่อเพิ่มยอดขาย
หลักฐาน: ทดลองขาย/ต้นทุน/สูตรต้นแบบ</t>
      </text>
    </comment>
    <comment authorId="0" ref="L1">
      <text>
        <t xml:space="preserve">พื้นที่ครัวสะอาด เป็นระเบียบ และแยกโซนเหมาะสม
หลักฐาน: ภาพครัว/โซนงาน</t>
      </text>
    </comment>
    <comment authorId="0" ref="M1">
      <text>
        <t xml:space="preserve">มีการจัดเก็บวัตถุดิบสด แห้ง และปรุงสุกอย่างถูกสุขลักษณะ
หลักฐาน: ตู้เย็น/ฉลาก/FIFO</t>
      </text>
    </comment>
    <comment authorId="0" ref="N1">
      <text>
        <t xml:space="preserve">เจ้าของร้านหรือพนักงานมีความรู้พื้นฐานด้านสุขอนามัยอาหาร
หลักฐาน: ใบอบรม/สัมภาษณ์</t>
      </text>
    </comment>
    <comment authorId="0" ref="O1">
      <text>
        <t xml:space="preserve">มีการควบคุมวันหมดอายุของวัตถุดิบ
หลักฐาน: สติกเกอร์วัน/Stock Card</t>
      </text>
    </comment>
    <comment authorId="0" ref="P1">
      <text>
        <t xml:space="preserve">อุปกรณ์ครัว ภาชนะ และพื้นที่บริการสะอาดพร้อมใช้งาน
หลักฐาน: อุปกรณ์/ตารางทำความสะอาด</t>
      </text>
    </comment>
    <comment authorId="0" ref="Q1">
      <text>
        <t xml:space="preserve">ร้านมีใบอนุญาตหรือเอกสารที่เกี่ยวข้องกับการจำหน่ายอาหาร
หลักฐาน: ใบอนุญาต/เอกสารราชการ</t>
      </text>
    </comment>
    <comment authorId="0" ref="R1">
      <text>
        <t xml:space="preserve">มีแนวทางป้องกันความเสี่ยง เช่น อาหารเสีย ปนเปื้อน หรือข้อร้องเรียนด้านสุขภาพ
หลักฐาน: Checklist/แผนรับมือ</t>
      </text>
    </comment>
    <comment authorId="0" ref="S1">
      <text>
        <t xml:space="preserve">ร้านมีชื่อ แบรนด์ หรือภาพจำที่ชัดเจน
หลักฐาน: โลโก้/ป้าย/เพจ</t>
      </text>
    </comment>
    <comment authorId="0" ref="T1">
      <text>
        <t xml:space="preserve">ร้านอธิบายได้ว่าลูกค้ามากินร้านนี้เพราะอะไร
หลักฐาน: รีวิว/จุดขาย</t>
      </text>
    </comment>
    <comment authorId="0" ref="U1">
      <text>
        <t xml:space="preserve">กลุ่มลูกค้าเป้าหมายของร้านมีความชัดเจน
หลักฐาน: Persona/ข้อมูลลูกค้า</t>
      </text>
    </comment>
    <comment authorId="0" ref="V1">
      <text>
        <t xml:space="preserve">ร้านมีเรื่องเล่าที่เชื่อมโยงกับอาหาร ท้องถิ่น หรือเจ้าของร้าน
หลักฐาน: Brand Story/คอนเทนต์</t>
      </text>
    </comment>
    <comment authorId="0" ref="W1">
      <text>
        <t xml:space="preserve">รูปแบบรายได้ของร้านชัดเจน เช่น หน้าร้าน เดลิเวอรี Catering หรือออกบูธ
หลักฐาน: ยอดขายแยกช่องทาง</t>
      </text>
    </comment>
    <comment authorId="0" ref="X1">
      <text>
        <t xml:space="preserve">ร้านมีแนวคิดในการต่อยอด เช่น สินค้าพร้อมขาย แพ็กเกจจิ้ง หรือแฟรนไชส์
หลักฐาน: Prototype/Pitch idea</t>
      </text>
    </comment>
    <comment authorId="0" ref="Y1">
      <text>
        <t xml:space="preserve">ร้านมีช่องทางออนไลน์ เช่น Facebook, TikTok, LINE OA หรือ Google Maps
หลักฐาน: ลิงก์เพจ/Google/TikTok</t>
      </text>
    </comment>
    <comment authorId="0" ref="Z1">
      <text>
        <t xml:space="preserve">ข้อมูลร้านออนไลน์ถูกต้อง เช่น เวลาเปิด-ปิด เบอร์โทร พิกัด และเมนู
หลักฐาน: Screenshot ข้อมูลร้าน</t>
      </text>
    </comment>
    <comment authorId="0" ref="AA1">
      <text>
        <t xml:space="preserve">มีภาพอาหารหรือคอนเทนต์ที่ช่วยกระตุ้นยอดขาย
หลักฐาน: โพสต์/รูป/วิดีโอ</t>
      </text>
    </comment>
    <comment authorId="0" ref="AB1">
      <text>
        <t xml:space="preserve">ร้านมีฐานลูกค้าประจำหรือมีวิธีทำให้ลูกค้ากลับมาซื้อซ้ำ
หลักฐาน: LINE OA/CRM/ลูกค้าประจำ</t>
      </text>
    </comment>
    <comment authorId="0" ref="AC1">
      <text>
        <t xml:space="preserve">มีการทำโปรโมชันหรือกิจกรรมการตลาดอย่างเหมาะสม
หลักฐาน: แคมเปญ/ยอดขายโปร</t>
      </text>
    </comment>
    <comment authorId="0" ref="AD1">
      <text>
        <t xml:space="preserve">ร้านรู้ว่าช่องทางใดสร้างยอดขายดีที่สุด
หลักฐาน: POS/รายงานเดลิเวอรี</t>
      </text>
    </comment>
    <comment authorId="0" ref="AE1">
      <text>
        <t xml:space="preserve">ร้านมีโอกาสขยายตลาดใหม่ เช่น เดลิเวอรี ออกงาน หน่วยงาน โรงแรม หรือการท่องเที่ยว
หลักฐาน: แผนขยายตลาด/คู่ค้า</t>
      </text>
    </comment>
    <comment authorId="0" ref="AF1">
      <text>
        <t xml:space="preserve">ร้านรู้ต้นทุนวัตถุดิบของเมนูหลัก
หลักฐาน: Costing Sheet/ใบซื้อ</t>
      </text>
    </comment>
    <comment authorId="0" ref="AG1">
      <text>
        <t xml:space="preserve">ร้านตั้งราคาขายโดยอิงต้นทุนและกำไร
หลักฐาน: ราคา/Gross Margin</t>
      </text>
    </comment>
    <comment authorId="0" ref="AH1">
      <text>
        <t xml:space="preserve">ร้านแยกเงินร้านกับเงินส่วนตัวออกจากกัน
หลักฐาน: บัญชีแยก/เงินสด</t>
      </text>
    </comment>
    <comment authorId="0" ref="AI1">
      <text>
        <t xml:space="preserve">มีการบันทึกรายรับ-รายจ่ายอย่างสม่ำเสมอ
หลักฐาน: สมุดบัญชี/Excel/POS</t>
      </text>
    </comment>
    <comment authorId="0" ref="AJ1">
      <text>
        <t xml:space="preserve">ร้านรู้ยอดขายเฉลี่ยต่อวันและต่อเดือน
หลักฐาน: ยอดขายรายวัน/เดือน</t>
      </text>
    </comment>
    <comment authorId="0" ref="AK1">
      <text>
        <t xml:space="preserve">ร้านรู้ว่าเมนูใดกำไรดี และเมนูใดควรปรับราคา
หลักฐาน: Menu Profitability</t>
      </text>
    </comment>
    <comment authorId="0" ref="AL1">
      <text>
        <t xml:space="preserve">ร้านมีเงินหมุนเวียนเพียงพอสำหรับวัตถุดิบ ค่าแรง ค่าเช่า และค่าใช้จ่ายจำเป็น
หลักฐาน: Cash Flow/ค่าใช้จ่าย</t>
      </text>
    </comment>
    <comment authorId="0" ref="AM1">
      <text>
        <t xml:space="preserve">ร้านมีขั้นตอนการเปิดร้าน-ปิดร้านที่ชัดเจน
หลักฐาน: Checklist เปิด-ปิด</t>
      </text>
    </comment>
    <comment authorId="0" ref="AN1">
      <text>
        <t xml:space="preserve">มีการแบ่งหน้าที่ของเจ้าของร้าน พนักงานครัว และพนักงานบริการ
หลักฐาน: ตารางเวร/Job Description</t>
      </text>
    </comment>
    <comment authorId="0" ref="AO1">
      <text>
        <t xml:space="preserve">เวลาการออกอาหารเหมาะสม ไม่ทำให้ลูกค้ารอนานเกินไป
หลักฐาน: บันทึกเวลา/รีวิว</t>
      </text>
    </comment>
    <comment authorId="0" ref="AP1">
      <text>
        <t xml:space="preserve">มีมาตรฐานการบริการ เช่น ต้อนรับ รับออเดอร์ เสิร์ฟอาหาร และรับชำระเงิน
หลักฐาน: Service SOP/สคริปต์</t>
      </text>
    </comment>
    <comment authorId="0" ref="AQ1">
      <text>
        <t xml:space="preserve">มีระบบจัดการสต็อกวัตถุดิบเพื่อลดของเสีย
หลักฐาน: Stock/Waste Log</t>
      </text>
    </comment>
    <comment authorId="0" ref="AR1">
      <text>
        <t xml:space="preserve">ร้านรับมือช่วงลูกค้าเยอะได้โดยคุณภาพไม่ตก
หลักฐาน: Peak Time Plan</t>
      </text>
    </comment>
    <comment authorId="0" ref="AS1">
      <text>
        <t xml:space="preserve">มีระบบจัดการข้อร้องเรียนของลูกค้า
หลักฐาน: Complaint Log/Chat</t>
      </text>
    </comment>
    <comment authorId="0" ref="AT1">
      <text>
        <t xml:space="preserve">ร้านมีแหล่งวัตถุดิบประจำที่เชื่อถือได้
หลักฐาน: ซัพพลายเออร์/ใบส่งของ</t>
      </text>
    </comment>
    <comment authorId="0" ref="AU1">
      <text>
        <t xml:space="preserve">มีการใช้วัตถุดิบท้องถิ่นหรือวัตถุดิบเด่นของพื้นที่
หลักฐาน: วัตถุดิบท้องถิ่น/ผู้ผลิต</t>
      </text>
    </comment>
    <comment authorId="0" ref="AV1">
      <text>
        <t xml:space="preserve">ร้านมีซัพพลายเออร์สำรอง หากวัตถุดิบหลักขาดตลาด
หลักฐาน: แหล่งสำรอง</t>
      </text>
    </comment>
    <comment authorId="0" ref="AW1">
      <text>
        <t xml:space="preserve">มีความร่วมมือกับชุมชน กลุ่มเกษตรกร หรือผู้ผลิตท้องถิ่น
หลักฐาน: MOU/กิจกรรมชุมชน</t>
      </text>
    </comment>
    <comment authorId="0" ref="AX1">
      <text>
        <t xml:space="preserve">ร้านมีความเชื่อมโยงกับหน่วยงาน ภาคี หรือเครือข่ายธุรกิจในพื้นที่
หลักฐาน: คู่ค้า/ภาคี/ออกงาน</t>
      </text>
    </comment>
    <comment authorId="0" ref="AY1">
      <text>
        <t xml:space="preserve">เจ้าของร้านมีความตั้งใจและเปิดรับการเปลี่ยนแปลง
หลักฐาน: Mentoring Log</t>
      </text>
    </comment>
    <comment authorId="0" ref="AZ1">
      <text>
        <t xml:space="preserve">ร้านพร้อมให้ทีมโครงการลงพื้นที่ ตรวจประเมิน และให้คำปรึกษาแบบ 1-on-1
หลักฐาน: แบบยินยอม/นัดหมาย</t>
      </text>
    </comment>
    <comment authorId="0" ref="BA1">
      <text>
        <t xml:space="preserve">ร้านสามารถจัดเตรียมข้อมูลสำคัญ เช่น รูปเมนู รูปร้าน ยอดขาย ต้นทุน และปัญหาหลัก
หลักฐาน: รูป/ยอดขาย/ต้นทุน</t>
      </text>
    </comment>
    <comment authorId="0" ref="BB1">
      <text>
        <t xml:space="preserve">ร้านมีเป้าหมายการพัฒนาภายใน 3-6 เดือน เช่น เพิ่มยอดขาย ลดต้นทุน ปรับเมนู ทำแบรนด์ หรือขยายช่องทางขาย
หลักฐาน: Goal Sheet/OKR/IDP</t>
      </text>
    </comment>
  </commentList>
</comments>
</file>

<file path=xl/sharedStrings.xml><?xml version="1.0" encoding="utf-8"?>
<sst xmlns="http://schemas.openxmlformats.org/spreadsheetml/2006/main" count="731" uniqueCount="448">
  <si>
    <t>คู่มือใช้งานไฟล์ THAI-RAP Excel Template สำหรับกรอกและสรุปข้อมูลร้าน 50 ร้าน</t>
  </si>
  <si>
    <t>รหัสร้าน</t>
  </si>
  <si>
    <t>ชื่อร้าน</t>
  </si>
  <si>
    <t>จังหวัด</t>
  </si>
  <si>
    <t>รอบ</t>
  </si>
  <si>
    <t>ความครบถ้วน</t>
  </si>
  <si>
    <t>ขั้นตอน</t>
  </si>
  <si>
    <t>วันที่ประเมิน</t>
  </si>
  <si>
    <t>วิธีใช้งาน</t>
  </si>
  <si>
    <t>คะแนนดิบ</t>
  </si>
  <si>
    <t>คะแนนรวม %</t>
  </si>
  <si>
    <t>อำเภอ/ตำบล</t>
  </si>
  <si>
    <t>Q1</t>
  </si>
  <si>
    <t>คะแนนถ่วงน้ำหนัก</t>
  </si>
  <si>
    <t>ประเภทร้าน</t>
  </si>
  <si>
    <t>เจ้าของ/ผู้ให้ข้อมูล</t>
  </si>
  <si>
    <t>Red Flag</t>
  </si>
  <si>
    <t>Q2</t>
  </si>
  <si>
    <t>โทรศัพท์</t>
  </si>
  <si>
    <t>1</t>
  </si>
  <si>
    <t>ช่องทางขายหลัก</t>
  </si>
  <si>
    <t>Q3</t>
  </si>
  <si>
    <t>ยอดขายเฉลี่ย/วัน</t>
  </si>
  <si>
    <t>ยอดขายเฉลี่ย/เดือน</t>
  </si>
  <si>
    <t>Q4</t>
  </si>
  <si>
    <t>กรอกข้อมูลร้านในชีต 01_ข้อมูลร้าน</t>
  </si>
  <si>
    <t>เมนูขายดี 1</t>
  </si>
  <si>
    <t>ระดับรวม</t>
  </si>
  <si>
    <t>เมนูขายดี 2</t>
  </si>
  <si>
    <t>Q5</t>
  </si>
  <si>
    <t>มิติเร่งแก้ไข</t>
  </si>
  <si>
    <t>เมนูขายดี 3</t>
  </si>
  <si>
    <t>ต้นทุนวัตถุดิบ/เดือน</t>
  </si>
  <si>
    <t>Q6</t>
  </si>
  <si>
    <t>ค่าแรง/เดือน</t>
  </si>
  <si>
    <t>มิติ 1</t>
  </si>
  <si>
    <t>ค่าเช่า/ค่าใช้จ่ายประจำ</t>
  </si>
  <si>
    <t>Q7</t>
  </si>
  <si>
    <t>2</t>
  </si>
  <si>
    <t>กำไรประมาณการ/เดือน</t>
  </si>
  <si>
    <t>มิติ 2</t>
  </si>
  <si>
    <t>กรอกคะแนน 0-4 ในชีต 02_ประเมิน50ร้าน ช่อง Q1-Q50</t>
  </si>
  <si>
    <t>ปัญหาหลัก 3 ข้อ</t>
  </si>
  <si>
    <t>Q8</t>
  </si>
  <si>
    <t>ด้านสังคม</t>
  </si>
  <si>
    <t>มิติ 3</t>
  </si>
  <si>
    <t>Q9</t>
  </si>
  <si>
    <t>มิติ 4</t>
  </si>
  <si>
    <t>Q10</t>
  </si>
  <si>
    <t>3</t>
  </si>
  <si>
    <t>ด้านสิ่งแวดล้อม</t>
  </si>
  <si>
    <t>ดูสรุปใน 03_สรุปคะแนน และ 04_Dashboard</t>
  </si>
  <si>
    <t>มิติ 5</t>
  </si>
  <si>
    <t>Q11</t>
  </si>
  <si>
    <t>เป้าหมาย 3-6 เดือน</t>
  </si>
  <si>
    <t>มิติ 6</t>
  </si>
  <si>
    <t>รอบประเมิน</t>
  </si>
  <si>
    <t>Q12</t>
  </si>
  <si>
    <t>มิติ 7</t>
  </si>
  <si>
    <t>Q13</t>
  </si>
  <si>
    <t>ชื่อผู้ประเมิน</t>
  </si>
  <si>
    <t>Q14</t>
  </si>
  <si>
    <t>มิติ 8</t>
  </si>
  <si>
    <t>4</t>
  </si>
  <si>
    <t>หมายเหตุ</t>
  </si>
  <si>
    <t>Q15</t>
  </si>
  <si>
    <t>ดูคำถามเต็มและหลักฐานใน 05_QuestionMaster</t>
  </si>
  <si>
    <t>ข้อเสนอแนะ</t>
  </si>
  <si>
    <t>RAP69-001</t>
  </si>
  <si>
    <t>Q16</t>
  </si>
  <si>
    <t>Q17</t>
  </si>
  <si>
    <t>Seed restaurant</t>
  </si>
  <si>
    <t>5</t>
  </si>
  <si>
    <t>Q18</t>
  </si>
  <si>
    <t>Red Flag = ข้อที่ได้คะแนน 0-1</t>
  </si>
  <si>
    <t>Q19</t>
  </si>
  <si>
    <t>Q20</t>
  </si>
  <si>
    <t>Q21</t>
  </si>
  <si>
    <t>Q22</t>
  </si>
  <si>
    <t>คะแนน</t>
  </si>
  <si>
    <t>Q23</t>
  </si>
  <si>
    <t>ระดับ</t>
  </si>
  <si>
    <t>ความหมาย</t>
  </si>
  <si>
    <t>Q24</t>
  </si>
  <si>
    <t>Q25</t>
  </si>
  <si>
    <t>Q26</t>
  </si>
  <si>
    <t>Q27</t>
  </si>
  <si>
    <t>Q28</t>
  </si>
  <si>
    <t>Q29</t>
  </si>
  <si>
    <t>ไม่มีเลย</t>
  </si>
  <si>
    <t>ไม่มีการดำเนินการ/ไม่มีหลักฐาน</t>
  </si>
  <si>
    <t>Q30</t>
  </si>
  <si>
    <t>Q31</t>
  </si>
  <si>
    <t>Q32</t>
  </si>
  <si>
    <t>มีบ้าง</t>
  </si>
  <si>
    <t>ทำบางส่วนแต่ไม่เป็นระบบ</t>
  </si>
  <si>
    <t>Q33</t>
  </si>
  <si>
    <t>Q34</t>
  </si>
  <si>
    <t>พื้นฐาน</t>
  </si>
  <si>
    <t>มีวิธีทำพื้นฐาน</t>
  </si>
  <si>
    <t>1.ร้านมีระบบอยู่ได้ด้วยตัวเอง ( staff training, system, etc.)
2.มี 2 ready-to-products ออกมา ( คง concept วัตถุดิบจากชุมชน )
3.เพิ่มเมนู สร้างเมนู signature 
4.เพิ่มความพร้อมในการให้บริการจนสามารถเปิดดำเนินการได้ทุกวั</t>
  </si>
  <si>
    <t>Q35</t>
  </si>
  <si>
    <t>ทำอยู่แล้ว supplier (อาหาร) ปัจจุบันเป็นคนในชุมชน 100% + มี consignment นำ product ชุมชนมาวาง แต่ ณ ตอนนี้ยังไม่ได้มีแพลนจะเพิ่มอะไรในด้านนี้ อยากโฟกัสไปกับการวางระบบร้านก่อน</t>
  </si>
  <si>
    <t>Q36</t>
  </si>
  <si>
    <t>โดยปัจจุบันร้าน concern เรื่องนี้อยู่แล้ว ด้วย concept บรรจุภัณฑ์ถ้า take-away ใช้เป็นกล่องกระดาษ - แก้วกระดาษ ตอนทิ้งขยะมีแยก พลาสติก,ขวดแก้ว, ขยะเปียก (ในชุมชนตรงนั้นมีที่ทิ้งขยะแยกประเภทอย่างละเอียด)</t>
  </si>
  <si>
    <t>ดี</t>
  </si>
  <si>
    <t>Q37</t>
  </si>
  <si>
    <t>เป็นระบบ มีหลักฐาน</t>
  </si>
  <si>
    <t>สร้างระบบเทรนนิ่งให้ร้านรันได้ด้วยตัวเองเพื่อความสุขและเวลาชีวิตที่สมดุล ควบคู่การเพิ่มเมนู Signature และคลอด 2 ผลิตภัณฑ์พร้อมทาน โดยมุ่งเน้นการใช้วัตถุดิบและสนับสนุน Supplier ในชุมชน 100% พร้อมคงเจตนารมณ์รักษ์โลกผ่านการแยกขยะและใช้บรรจุภัณฑ์ที่เป็นมิตรต่อสิ่งแวดล้อมอย่างยั่งยืนในปี 2026</t>
  </si>
  <si>
    <t>Q38</t>
  </si>
  <si>
    <t>ดีมาก</t>
  </si>
  <si>
    <t>Q39</t>
  </si>
  <si>
    <t>วัดผลและต่อยอดได้</t>
  </si>
  <si>
    <t>Q40</t>
  </si>
  <si>
    <t>T0</t>
  </si>
  <si>
    <t>Q41</t>
  </si>
  <si>
    <t>Q42</t>
  </si>
  <si>
    <t>Q43</t>
  </si>
  <si>
    <t>RAP69-002</t>
  </si>
  <si>
    <t>แหล่งอ้างอิง</t>
  </si>
  <si>
    <t>รายละเอียด</t>
  </si>
  <si>
    <t>ก๋วยเตี๋ยวเรือคุณปุ๊ก</t>
  </si>
  <si>
    <t>Q44</t>
  </si>
  <si>
    <t>Q45</t>
  </si>
  <si>
    <t>Q46</t>
  </si>
  <si>
    <t>Q47</t>
  </si>
  <si>
    <t>THAI-RAP_แบบฟอร์มประเมินร้าน_50ข้อ_Manual(3).pdf</t>
  </si>
  <si>
    <t>ใช้เป็นแบบฟอร์มภาคสนามและรายการประเมิน</t>
  </si>
  <si>
    <t>Q48</t>
  </si>
  <si>
    <t>Q49</t>
  </si>
  <si>
    <t>THAI-RAP_รายละเอียดแบบประเมินร้าน_50ข้อ_และคู่มือเก็บข้อมูล(2).pdf</t>
  </si>
  <si>
    <t>ใช้เป็นคู่มือมิติ น้ำหนัก เกณฑ์คะแนน หลักฐาน และ Red Flag</t>
  </si>
  <si>
    <t>Q50</t>
  </si>
  <si>
    <t>RAP69-003</t>
  </si>
  <si>
    <t xml:space="preserve">บ้าน-บ้าน สุขพอดี </t>
  </si>
  <si>
    <t>หมายเหตุ/ข้อเสนอแนะ</t>
  </si>
  <si>
    <t>1.สร้างมาตรฐานการบริการและการประกอบอาหารในแบบฉบับบ้าน-บ้าน สุขพอดี
2.พัฒนาเมนูเด่นจากสวนและเมนูประจำถิ่น เชื่อมโยงการปลูก การปรุง และการเรียนรู้ให้เกื้อหนุนกัน
3.สร้างการรับรู้ให้ผู้คนนึกถึงบ้าน-บ้าน สุขพอดี เมื่อต้องการประสบการณ์ "ดม เด็ด ปรุง จริง"
4.พัฒนาระบบสมาชิกและกิจกรรมต่อเนื่อง เพื่อสร้างการกลับมาเรียนรู้และเติบโตร่วมกัน
5.ยกระดับไซรัปมะพร้าวสู่สินค้าซิกเนเจอร์ ที่สะท้อนคุณค่าจากทรัพยากรและภูมิปัญญาในพื้นที่</t>
  </si>
  <si>
    <t>มุ่งเป็นต้นแบบของพื้นที่แห่งอาหาร การเรียนรู้ และการใช้ชีวิตที่เกื้อกูลกัน เชื่อมโยง "สวนสู่ครัว ครัวสู่ชีวิต" ผ่านวัตถุดิบจากธรรมชาติ ภูมิปัญญาท้องถิ่น และประสบการณ์ "ดม เด็ด ปรุง จริง" เพื่อสร้างคุณค่าร่วมทางเศรษฐกิจ สังคม และสิ่งแวดล้อม พร้อมส่งต่อความสุข ความหมาย และความยั่งยืนให้แก่ผู้คน ชุมชน และโลกใบนี้</t>
  </si>
  <si>
    <t>ขับเคลื่อนอัตลักษณ์ 'สวนสู่ครัว ครัวสู่ชีวิต' ผ่านมาตรฐานบริการ เมนูถิ่น และประสบการณ์ 'ดม เด็ด ปรุง จริง' ควบคู่การรุกตลาดเพื่อสร้างรายได้รวมในปี 2569 กว่า 900,000 บาท บนฐานคิดการพึ่งพาธรรมชาติและภูมิปัญญาท้องถิ่น มุ่งเป็นต้นแบบพื้นที่อาหารและการเรียนรู้ที่เกื้อกูลสิ่งแวดล้อม พร้อมส่งต่อความสุขและความยั่งยืนให้กับผู้คน ชุมชน และโลกใบนี้</t>
  </si>
  <si>
    <t>RAP69-004</t>
  </si>
  <si>
    <t xml:space="preserve"> แฟรนไชส์ก๋วยเตี๋ยวปากหม้อแม่ว่าดี </t>
  </si>
  <si>
    <t>RAP69-005</t>
  </si>
  <si>
    <t>16Brix Melon Farm&amp;Café</t>
  </si>
  <si>
    <t>1.เพิ่มยอดขายในส่วนคาเฟ่ ให้มีรายรับเฉลี่ย 250,000  บาทต่อเดือน ที่กำไรสุทธิ 25% โดยมีผลิตภัณฑ์หลักดังนี้
-เมล่อนผล (online&amp;offline)
-อาหาร น้ำ
-ของฝาก
*รวมถึงโอกาสสเกลสาขาเพิ่มยอดขายในสถานที่ที่น่าสนใจ (มองพื้นที่ประเภทกลุ่ม Healthcare)
2.ทำผลิตภัณฑ์ที่มีโอกาสเข้าสู่ตลาดใหญ่ได้ และเสกลได้ เพื่อเพิ่มรายรับแบบก้าวกระโดด (หลักล้านบาท)
- ก้านไม้หอม กลิ่นเมล่อน (มีสินค้าแล้ว ผลิตโดย วว. ขายทาง online&amp;offline อยู่)
- แยมเมล่อน (ทดลองขาย offline อยู่ แต่อยากได้เทคโนโลยียืดอายุ)
- Melon Apply Cyder เปลือกเมล่อนลอยแก้ว (ต้นทุนต่ำเนื่องจากเป็น Byproduct ทดลองขายอยู่ แต่อยากพัฒนาแพคเกจ และเทคนิคการยืดอายุ
3.เพิ่มการรับรู้แบรนด์ และเปลี่ยน traffic เป็น income ไปสู่เป้าหมายข้อ 1&amp;2
4.เซทระบบให้งานทุกส่วนรันได้แม้ไม่มีตัวเจ้าของอยู่</t>
  </si>
  <si>
    <t>ทางสังคมเรามีการใช้วัตถุดิบในพื้นที่
- เมล่อนปลูกเอง
- แรงงานท้องถิ่น
- เมล็ดกาแฟ แป้งพิซซ๋า จากกลุ่ม YEC นครนายก
- ผักสลัดจากฟาร์มใกล้เคียง</t>
  </si>
  <si>
    <t>ด้านสิ่งแวดล้อม
- ทางฟาร์มใช้โซล่าเซลในส่วนการปลูก
- ออกแบบเมนูจาก  Byproduct เช่นเปลือกทำลอยแก้ว ผิวเปลือกมีส่งให้น้องที่ม.ศีรนครินทำวิจัย</t>
  </si>
  <si>
    <t>เซ็ตระบบคาเฟ่ให้รันอัตโนมัติเพื่อยอดขาย 250,000 บาทต่อเดือน ควบคู่การปั้นและยืดอายุผลิตภัณฑ์เมล่อนนวัตกรรมสู่ตลาดใหญ่ในปี 2026 บนฐานความยั่งยืนที่ใช้พลังงานโซล่าเซลล์และขับเคลื่อนครัวแบบไร้ขยะด้วยการแปรรูป Byproduct พร้อมเกื้อกูลสังคมผ่านการจ้างงานและกระจายรายได้สู่เครือข่ายเกษตรกรท้องถิ่นอย่างมั่นคง</t>
  </si>
  <si>
    <t>RAP69-006</t>
  </si>
  <si>
    <t>ร้านอีสานเฮาส์ (304 ปราจีนบุรี)</t>
  </si>
  <si>
    <t>เป้าหมายทางธุรกิจ : เพิ่มยอดขายให้ได้เดือนละ 5 ล้านบาทต่อเดือน โดยทำร้านให้เป็นห้องรับแขกของจังหวัดปราจีนบุรีให้ได้ 
- เป็นแลนด์มาร์กของปราจีนบุรี 
- เป็นร้านที่บริษัท โรงงานต่างๆ และหน่วยงานราชการ เลือกใช้การจัดเลี้ยง ประชุม สัมมนา 
- เป็นร้านที่คนในพื้นที่อยากพาครอบครัวมาทานอาหารหรือเลี้ยงฉลองในวันสำคัญ
- เป็นร้านที่ต้องแวะสำหรับคนที่เดินทางผ่านถนน 304</t>
  </si>
  <si>
    <t>เป้าหมายทางสังคม : ร้านอีสานเฮาส์จะเป็นร้านที่ทำให้คนปราจีนบุรีภูมิใจ โดยสร้างงานให้คนในท้องถิ่นได้มีอาชีพ 
- มีรับนักศึกษาฝึกงานมาฝึกทำอาหารและสร้างเส้นทางความก้าวหน้าในอาชีพ 
- มีการสนับสนุนเกษตรกรในท้องถิ่น และซื้อวัตถุดิบจากชุมชน ให้ชาวบ้านมีรายได้ เช่น หน่อไม้ไผ่ตง, กุ้งฝอยจากชาวบ้านที่หามาจากแม่น้ำปราจีนบุรี, ปูนาจากชาวบ้านที่ไปขุดจากทุ่งนา เพื่อทำให้ร้านอีสานเฮาส์ไม่ใช่แค่ร้านอาหาร แต่เป็นส่วนหนึ่งของคนจังหวัดปราจีนบุรี</t>
  </si>
  <si>
    <t>ป้าหมายด้านสิ่งแวดล้อม : ต้องการลดขยะอาหาร และสามารถนำขยะที่เหลือไปใช้ประโยชน์ต่อได้ เช่น ชาวบ้านนำไปเลี้ยงสัตว์ หรือแปรรูปให้เป็นปุ๋ยต่อไป
- ส่งเสริมให้ลูกค้านำภาชนะมาใส่เครื่องดื่มเอง แล้วลดราคาเครื่องดื่ม (ตอนนี้ทำอยู่)
- สร้างพื้นที่สีเขียว โดยปลูกสวนสมุนไพร ใช้พื้นที่ร้านเป็นแหล่งเรียนรู้เล็กๆ</t>
  </si>
  <si>
    <t>ปั้นอีสานเฮาส์สู่ห้องรับแขกและแลนด์มาร์กของปราจีนบุรีเพื่อสร้างยอดขาย 5 ล้านบาทต่อเดือน บนฐานความสุขที่เจ้าของร้านมีระบบบริหารจนมีเวลาให้ครอบครัวและพนักงานเติบโตอย่างมั่นคง ควบคู่การสร้างงาน อุดหนุนวัตถุดิบชุมชนอย่างหน่อไม้ไผ่ตงและกุ้งฝอย ตลอดจนจัดการขยะอาหารเพื่อเลี้ยงสัตว์ ทำปุ๋ย และเพิ่มพื้นที่สีเขียวอย่างยั่งยืน</t>
  </si>
  <si>
    <t>RAP69-007</t>
  </si>
  <si>
    <t>ร้านคำนิยม</t>
  </si>
  <si>
    <t>5 เป้าหมาย ปี 2569
1.เพิ่มยอดขายรวม 30%
2.พัฒนาระบบมาตรฐานร้านอาหาร (SOP) ครบ 100%
3.ลดต้นทุนอาหาร (FOOD COST) ให้ต่ำกว่า 35%
4.สร้างฐานลูกค้าประจำ 1,000 คน
5.ยกระดับแบรนด์ "คำนิยม" ให้เป็นอาหารที่รับจัดเลี้ยงในและนอกสถานที่ อันดับต้นในพื้นที่</t>
  </si>
  <si>
    <t>ใช้ผักและวัตถุดิบท้องถิ่นจากชาวบ้านในพื้นที่เพิ่มขึ้น โดยเฉพาะวัตถุดิบตามฤดูกาล</t>
  </si>
  <si>
    <t>แยกขยะโดยเฉพาะขยะเศษอาหาร ให้สามารถนำไปทำปุ๋ยหรือใช้เป็นอาหารสัตว์ได้</t>
  </si>
  <si>
    <t>พุ่งเป้าเพิ่มยอดขายรวม 30% และลด Food Cost ให้ต่ำกว่า 35% ควบคู่การวางระบบ SOP ครบ 100% เพื่อยกระดับแบรนด์ 'คำนิยม' สู่อันดับต้นของธุรกิจจัดเลี้ยงในปี 2569 บนฐานความสุขที่เจ้าของร้านมีเวลาชีวิตที่สมดุลและพนักงานเติบโตอย่างมีพลัง พร้อมสร้างคุณค่าร่วมกับชุมชนผ่านการใช้ผักและวัตถุดิบตามฤดูกาลในพื้นที่ และจัดการแยกขยะเศษอาหารเพื่อหมุนเวียนประโยชน์กลับสู่สิ่งแวดล้อมอย่างยั่งยืน</t>
  </si>
  <si>
    <t>RAP69-008</t>
  </si>
  <si>
    <t>ร้านอรวรรณบ้านเพ</t>
  </si>
  <si>
    <t>RAP69-009</t>
  </si>
  <si>
    <t>ครัวเดอมอง</t>
  </si>
  <si>
    <t>RAP69-010</t>
  </si>
  <si>
    <t>เรือนไทย พัทยา</t>
  </si>
  <si>
    <t>RAP69-011</t>
  </si>
  <si>
    <t>ร้านอาหาร ทะเลลานโพธิ์ ซีฟู้ด</t>
  </si>
  <si>
    <t>ผลักดันซีฟู้ดท้องถิ่นกลุ่มหมู่บ้านชาวประมง พ่อค้าเเม่ค้า เมืองพัทยา จังหวัดชลบุรี ออกสู่ตลาดระดับประเทศเเละต่างประเทศให้เป็นที่รู้จัก และดึงดูดนักท่องเที่ยวทั้งชาวไทย เเละชาวต่างชาติ เข้ามาในชุมชน สร้างความเจริญและสร้างรายได้สู่ชุมชน เเละเมืองพัทยา</t>
  </si>
  <si>
    <t>ยกระดับซีฟู้ดพัทยาสู่แบรนด์ของฝากพรีเมียมด้วยนวัตกรรมและระบบ SOP เพื่อโตรายได้ 25% ปี 2569 บนฐานความสุขที่ได้ส่งมอบความปลอดภัยจนลูกค้ากลายเป็นเพื่อน ควบคู่การลดขยะวัตถุดิบ 10% และผลักดันผลผลิตประมงพื้นบ้านสู่สากลเพื่อสร้างรายได้กลับคืนสู่ชุมชนอย่างยั่งยืน</t>
  </si>
  <si>
    <t>RAP69-012</t>
  </si>
  <si>
    <t>นายกุ่ยไก่หุบบอน @เขาชีจรรย์</t>
  </si>
  <si>
    <t xml:space="preserve">1. การขยายสาขาเพิ่มการเติบโต 2. เพิ่มเทคโนโลยีเข้ามามีส่วนร่วมในการจัดการ  3. การเพิ่มช่องทางรายได้ใหม่ 4. การจัดการต้นทุน </t>
  </si>
  <si>
    <t>นำไก่หุบบอน ไก่พื้นเมืองชลบุรี ออกสู่ตลาดระดับประเทศ ให้เป็นที่รู้จัก และดึงดูดนักท่องเที่ยว เข้ามาในชุมชน สร้างความเจริญและสร้างรายได้สู่ชุมชน</t>
  </si>
  <si>
    <t>สปีดการเติบโตด้วยสาขาพัทยา ระบบแฟรนไชส์ และไก่สับแช่แข็งบุกโมเดิร์นเทรดด้วยระบบ SOP คุมต้นทุนปี 2569 บนฐานความสุขที่ได้ทำสิ่งที่รักและส่งมอบความอร่อยสะอาดจนลูกค้ากลายเป็นเพื่อน ควบคู่การผลักดันไก่พื้นเมืองชลบุรีสู่ระดับประเทศเพื่อดึงดูดนักท่องเที่ยวและสร้างรายได้กลับคืนสู่ชุมชน</t>
  </si>
  <si>
    <t>RAP69-013</t>
  </si>
  <si>
    <t>บ้านสวนบางแสน</t>
  </si>
  <si>
    <t>RAP69-014</t>
  </si>
  <si>
    <t>สวนแววอรุณ</t>
  </si>
  <si>
    <t>หลังจากกลับมาจากงาน THAI-RAP ผมมาวิเคระห์สถานการณ์เศรษฐกิจ เลยสรุปว่าปีนี้เราจะไม่โฟกัสการไล่ยอดขายครับ แต่จะโฟกัสการสร้างระบบ เพราะเมื่อระบบแข็งแรง ยอดขายจะเป็นผลลัพธ์ที่ตามมาเองเป้าหมายสำคัญของสวนแววอรุณในปี 2569 คือ
การจัดทำ SOP ให้ครบทุกแผนก
เพื่อเปลี่ยนการทำงานที่พึ่งพาประสบการณ์ของแต่ละคน ให้กลายเป็นมาตรฐานขององค์กร
โดยครอบคลุม
SOP การจัดเตรียมวัตถุดิบ
SOP การปรุงอาหารและมาตรฐานสูตรอาหาร
SOP ร้านอาหารและการบริการลูกค้า
SOP คาเฟ่และเครื่องดื่ม
SOP ที่พัก
SOP ลานกางเต็นท์
SOP กิจกรรมและความปลอดภัย
SOP การตลาดและการสื่อสารกับลูกค้า
SOP งานบริหารและการควบคุมต้นทุน
เป้าหมายของเราไม่ใช่เพียงทำให้พนักงานทำงานตามขั้นตอน
แต่เพื่อสร้างองค์กรที่สามารถรักษาคุณภาพ มาตรฐาน และประสบการณ์ของลูกค้าได้อย่างสม่ำเสมอ</t>
  </si>
  <si>
    <t>ด้านสังคม 
เราให้พื้นที่ชุมชน เข้ามาใช้พื้นที่ของเราจัดกิจกรรมมากขึ้น 
เช่น เราให้.ศกร.ใช้พื้นที่ตั้งห้องสมุดชุมชน มุมหนังสือประชาชน</t>
  </si>
  <si>
    <t>ด้านสิ่งแวดล้อม
- รักษาพื้นที่สีเขียวและระบบนิเวศภายในสวน และมีการขยายการปลูกต้นไม้และพันธุ์ไม้ป่าในพื้นที่อีก 10 ไร่
- เพิ่มการใช้วัสดุที่เป็นมิตรต่อสิ่งแวดล้อม
- พัฒนาระบบจัดการขยะและเศษอาหารให้เกิดประโยชน์สูงสุด โดยปัจจุบัน เราร่วมกับทีมงานวิจัยที่นำเศษอาหารไปทำเป็นอาหารเลี้ยงหนอนเพื่อใช้เป็นแหล่งโปรตีนสัตว์ทดแทนการนำเข้าถั่วเหลืองเป็นต้น 
- ในช่วงต้นปีที่ผ่านมา เราเพิ่งติดตั้งพลังงานแสงอาทิตย์เพื่อใช้เป็นพลังงานสะอาด</t>
  </si>
  <si>
    <t>สร้างระบบ SOP ครบทุกแผนกเพื่อยกระดับมาตรฐานบริการและประสบการณ์ของลูกค้าอย่างสม่ำเสมอโดยไม่พึ่งพาบุคคลในปี 2569 บนฐานคิดการเติบโตอย่างมีสติที่โฟกัสระบบก่อนยอดขาย ควบคู่การขยายพื้นที่ป่าสีเขียว 10 ไร่ ใช้พลังงานแสงอาทิตย์ และจัดการขยะเศษอาหารสู่นวัตกรรมอาหารหนอนโปรตีนเพื่อสิ่งแวดล้อม พร้อมเปิดพื้นที่สร้างคุณค่าให้สังคมด้วยการเป็นแหล่งเรียนรู้และห้องสมุดสำหรับชุมชนอย่างยั่งยืน</t>
  </si>
  <si>
    <t>RAP69-015</t>
  </si>
  <si>
    <t>คุณอี๊ดกะเพราแซ่บจี้ด</t>
  </si>
  <si>
    <t>RAP69-016</t>
  </si>
  <si>
    <t>หมูสะเต๊ะอพอลโล</t>
  </si>
  <si>
    <t>THAI-RAP Dashboard สรุปประเมินร้าน 50 ร้าน</t>
  </si>
  <si>
    <t>KPI</t>
  </si>
  <si>
    <t>ค่า</t>
  </si>
  <si>
    <t>คำอธิบาย</t>
  </si>
  <si>
    <t>RAP69-017</t>
  </si>
  <si>
    <t>จำนวนร้านทั้งหมด</t>
  </si>
  <si>
    <t>วันวาน คาเฟ่</t>
  </si>
  <si>
    <t>จำนวนรหัสร้าน</t>
  </si>
  <si>
    <t>กรอกครบ 50 ข้อ</t>
  </si>
  <si>
    <t>ร้านที่กรอกครบ</t>
  </si>
  <si>
    <t>RAP69-018</t>
  </si>
  <si>
    <t>อิ่มอุ่น ณ พัทยา</t>
  </si>
  <si>
    <t>คะแนนถ่วงน้ำหนักเฉลี่ย</t>
  </si>
  <si>
    <t>1.จัดการระบบ ของพัทยา เพื่อเตรียมขยายสาขาไปกทม.
2.ทำระบบสมาชิก เพื่อให้ลูกค้าเก่ามาใช้บริการซ้ำ/ ให้ระบบหลังบ้านรับทราบข้อมูล ไม่ใช่เพียงจำหน้าลูกค้าได้
3.ปรับทัศนคติ น้องบริการ ให้ยิ้มเเย้วและกล่าวต้อนรับ-ขอบคุณลูกค้า
4. ทำมุมเช็คอิน
5. จัดทำผลิตภัณเเช่เเข็งเสี่ยวหลงเปา(จากเมนูที่ติดลำดับขายดี) ให้ลูกค้าซื้อกลับ
6. ทำระบบให้ลูกคอมเพลน ผ่าน google form เพื่อเปิดฟังความคิดเห็นลูกค้ามากขึ้น</t>
  </si>
  <si>
    <t>1.ทางร้านสนับสนุน ของใช้พื้นบ้านจักรสาร ที่ใช้ตกแต่งร้านจากชุมชน ในจังหวัดชลบุรร
2.การสนับสนุนประมงพื้นบ้าน ทางร้านใช้วัสดุดิบอาหารทะเลในท้องถิ่น</t>
  </si>
  <si>
    <t>1.ทำระบบ SOP ล็อกมาตรฐานเมนูเด็ดและควบคุม Food Cost ช่วยลดขยะที่เกิดจากอาหารเหลือทิ้ง
2.สำหรับสินค้าแช่แข็ง ในแผนการพัฒนาผเสี่ยวหลงเปาแช่แข็ง เราจะศึกษาและเลือกใช้บรรจุภัณฑ์</t>
  </si>
  <si>
    <t>เฉพาะร้านที่มีคะแนน</t>
  </si>
  <si>
    <t>จัดระบบสาขาของพัทยารองรับการขยายสาขาสู่ กทม. ทำระบบสมาชิก และปั้นเสี่ยวหลงเปาแช่แข็งปี 2026 บนฐานความสุขที่เห็นแบรนด์อิ่มอุ่นเติบโตต่อเนื่องและสร้างความอร่อยให้ทุกครอบครัว ควบคู่การลดขยะอาหารด้วย SOP คุมต้นทุน ตลอดจนอุดหนุนงานจักสานและใช้วัตถุดิบซีฟู้ดจากประมงพื้นบ้านชลบุรีเพื่อขับเคลื่อนเศรษฐกิจชุมชน</t>
  </si>
  <si>
    <t>RAP69-019</t>
  </si>
  <si>
    <t>จำนวน Red Flag ทั้งหมด</t>
  </si>
  <si>
    <t>ร้านอาหารบ่อทองบุรี</t>
  </si>
  <si>
    <t>คะแนน 0-1</t>
  </si>
  <si>
    <t>ร้านเร่งแก้ไข</t>
  </si>
  <si>
    <t>1. แผนยกระดับมาตรฐานการบริการ และอัตลักษณ์อาหาร
เป้าหมาย  :  จัดทำเล่มเมนูใหม่ที่รองรับกลุ่มลูกค้าต่างชาติ ควบคู่ไปกับการพัฒนาศิลปะการจัดจาน  เพื่อเพิ่มมูลค่าและความน่าสนใจให้แก่อาหาร
แนวทางการดำเนินงาน : ออกแบบและจัดทำเล่มเมนูใหม่ 3 ภาษา (ไทย, อังกฤษ, จีน) เพื่อให้ครอบคลุมและตอบโจทย์การบริการอย่างเป็นสากล คัดเลือกและปรับปรุงภาชนะใส่อาหารชุดใหม่ ให้มีความสวยงามและเข้ากับอัตลักษณ์ของแต่ละเมนู
กรอบเวลา : ดำเนินการควบคู่กันให้แล้วเสร็จภายใน 3 เดือน กันยายน 2569
2. แผนพัฒนาประสิทธิภาพระบบครัวและการบริหารจัดการ
เป้าหมาย: พัฒนาทักษะบุคลากรและจัดวางระบบบริหารจัดการวัตถุดิบภายในครัวเพื่อลดความสูญเสีย (Food Waste) และเตรียมความพร้อมรองรับฤดูกาลท่องเที่ยวแนวทางการดำเนินงาน :    จัดอบรมและพัฒนาทักษะการบริหารจัดการครัว การควบคุมมาตรฐานรสชาติ และการจัดการสต็อกวัตถุดิบอย่างเป็นระบบ
กรอบเวลา : ดำเนินการในช่วง กรกฏาคมสิงหาคม 2569 เลือกช่วง Low Season ที่ปริมาณงานหน้าร้านลดลง เพื่อให้บุคลากรโฟกัสกับการพัฒนาได้อย่างเต็มที่
3. แผนพัฒนาผลิตภัณฑ์นวัตกรรมอาหารและมาตรฐาน อย.
เป้าหมาย : พัฒนา "พริกแกงปรุงสำเร็จ" สู่การเป็นของฝากระดับพรีเมี่ยมที่ตอบโจทย์เทรนด์คนรักสุขภาพ พร้อมยกระดับโรงเรือนผลิตให้ผ่านการรับรองมาตรฐาน อย.
แนวทางการดำเนินงาน
ด้านตัวผลิตภัณฑ์ : ปรับสูตรพริกแกงสำเร็จรูปให้เป็นทางเลือกเพื่อสุขภาพ เช่น การลดโซเดียม ลดน้ำตาล หรือใช้สิ่งทดแทนเพื่อสุขภาพ โดยยังคงรักษาอัตลักษณ์ รสชาติ และสีสันดั้งเดิมของอาหารไทยไว้
ด้านบรรจุภัณฑ์ : พัฒนา Packaging ใหม่ให้มีความสวยงาม ดึงดูดสายตา และสะท้อนคุณค่าความเป็นของฝากพรีเมี่ยมด้านมาตรฐานการผลิต : ดำเนินการจัดตั้งโรงเรือนผลิต (ปัจจุบันโครงสร้างอาคารเสร็จสมบูรณ์แล้ว) โดยจะติดตั้งเครื่องผัด เครื่องบรรจุ และระบบที่เกี่ยวข้อง พร้อมยื่นเอกสารตรวจประเมินเพื่อรับรองมาตรฐาน อย.
กรอบเวลา : ดำเนินการติดตั้งระบบโรงเรือนและยื่นตรวจประเมิน อย. ให้แล้วเสร็จภายใน ตุลาคม - พฤษจิกายน  2026 ขึ้นอยู่กับการอนุมัตของ อย.</t>
  </si>
  <si>
    <t>1.ปล่อยปลาประจำเดือน ที่อ่างเก็บน้ำคลองหลวงรัชโลทร
2.ถวายภัตรตราหารพระประจำเดือน
3.การมอบข้าวสาร และเลี้ยงอาหารกลางวันเด็ก ประจำ
4.กิจกรรมผูกเสี่ยว ดำนา เกี่ยวข้าว ประจำทุกปี
5.กิจกรรมปลูกป่าชุมชนเพื่อการเรียนรู้ ประจำทุกปี
6.กิจกรรมวันสงกรานต์ รดน้ำขอพรผู้ใหญ่ การกวนข้าวเหนียวแดง ประจำทุกปี
7..สนับสนุนกิจกรรมของชุมชน อำเภอ ทุกงาน ไม่ว่าจะเป็น งานบุญกลางบ้าน งานแม่ศรีผีกระดง งานพ่อพญาเร่ งานประกวดสาวงาม
8.มีศูนย์โอทอป สนับสนุนพื้นที่และพนักงานขายให้ฟรี
9.การประชุมสัมมนาและงานแต่ง จะใช้เบรคเป็นขนมจากภายในชุมชน เป็นขนมไทย ขนมพื้นบ้าน</t>
  </si>
  <si>
    <t>ยกระดับเมนูและศิลปะการจัดจานสู่สากล ควบคู่กับการเป็นครัวไร้ขยะ (Zero Food Waste) และพัฒนาพริกแกงเพื่อสุขภาพมาตรฐาน อย. โดยร้อยเรียงวัตถุดิบและภูมิปัญญาท้องถิ่นเพื่อกระจายรายได้สู่ชุมชนบ่อทอง พร้อมรับไฮซีซั่นปี 2026 บนฐานความสุขและทีมงานที่มีพลังชีวิตที่สมดุล</t>
  </si>
  <si>
    <t>คะแนนถ่วงน้ำหนักต่ำกว่า 50%</t>
  </si>
  <si>
    <t>RAP69-020</t>
  </si>
  <si>
    <t>ผัดไทยคาเฟ่แม่วรรณา</t>
  </si>
  <si>
    <t>มิติ</t>
  </si>
  <si>
    <t>ชื่อมิติ</t>
  </si>
  <si>
    <t>คะแนนเฉลี่ย</t>
  </si>
  <si>
    <t>น้ำหนัก</t>
  </si>
  <si>
    <t>จำนวนข้อ</t>
  </si>
  <si>
    <t>เป้าหมาย: 
 ⁃ ทำให้คนรู้จักแบรนด์และร้านผัดไทยคาเฟ่แม่วรรณาเพิ่มมากขึ้น 70 %
 ⁃ พัฒนาผัดไทยให้มีรสชาติที่เป็นเอกลักษณ์ (Signature) โดยใช้ "น้ำซอสผัดไทยแม่วรรณา" เป็นหัวใจสำคัญ เพื่อให้ลูกค้าไม่ว่าจะทานเมื่อไหร่หรือที่ไหนก็จะได้รสชาติและคุณภาพที่คงที่ ด้วยการรักษามาตรฐานของร้านเป็นสำคัญ
 ⁃ มียอดขายเพิ่ม 10,000 - 15,000 บาทต่อวัน
 ⁃ พัฒนาและเรียนรู้สร้างช่องทางออนไลน์ (Facebook, TikTok, Google Maps) ให้มีผู้ติดตามเพิ่มขึ้นอย่างต่อเนื่อง
 ⁃ ขยายสาขา และพัฒนารูปแบบ Food Truck และ Franchise ให้โดดเด่นทันสมัยเป็นที่น่าสนใจและน่าลงทุน
 ⁃ เพิ่มช่องทางกิจกรรมเหมาเสิร์ฟ จัดเลี้ยง Catering และออกงานEvent ต่างๆมากขึ้น
 ⁃ พัฒนาผลิตภัณฑ์เป็นของฝาก เช่น ซอสผัดไทย ผัดไทยพร้อมทาน และผัดไทยกึ่งสำเร็จรูป แบรนด์แม่วรรณา ให้มีคุณภาพมาตรฐานอย.และปลอดภัย รสชาติเหมือนทานที่ร้าน
 ⁃ พัฒนาซอสผัดไทย ให้มีสูตรต่างๆนอกจากสูตร ดั้งเดิม แม่วรรณา เป็นสูตรซอสผัดไทยรสสละ และสูตรซอสผัดไทยรสสับปะรด โดยใช้วัตถุดิบในท้องถิ่นที่ขึ้นชื่อมีเอกลักษ์ที่โดดเด่นและแตกต่างเป็นหลัก 
 ⁃ ยกระดับจากร้านอาหารสู่ระบบมาตรฐาน (SOP): การจัดทำขั้นตอนการทำ (SOP) ที่ชัดเจน เพื่อให้การขยายสาขาหรือการบริหารจัดการฟู้ดทรัคเป็นไปได้อย่างมีประสิทธิภาพ ลดความผิดพลาด และควบคุมต้นทุน
 ⁃ ปรับภาพลักษณ์ผัดไทยจากอาหารริมทาง (Street Food) ให้มีความเป็นไลฟ์สไตล์มากขึ้น ทั้งการตกแต่งรถเทลเลอร์ฟู้ดทรีคให้โดดเด่นเป็นที่จดจำ และแตกต่างมีมุมที่น่าถ่ายรูป
 ⁃ สร้างเพลงประจำร้านทำให้ลูกค้าจดจำ แบรนด์ ฟังแล้วติดหูเพื่อเข้าถึงกลุ่มลูกค้าได้ง่าย
 ⁃ มีที่ปรึกษาแหล่งเงินทุน เพื่อโอกาสขยายธุรกิจ
 ⁃ เป้าหมายสูงสุด: เพื่อให้ "ผัดไทยคาเฟ่แม่วรรณา" ไม่ใช่เป็นมากกว่าร้านอาหาร (Street Food)แต่เป็น "แบรนด์ผัดไทยระดับสากล" ที่มีระบบการจัดการหลังบ้านที่แข็งแกร่ง มีภาพลักษณ์ที่ทันสมัย และเป็นที่จดจำทั้งในแง่ของรสชาติและประสบการณ์ เป็นที่รู้จักทั้งชาวไทยและชาวต่างชาติ</t>
  </si>
  <si>
    <t>ร้านผัดไทยคาเฟ่แม่วรรณามุ่งสร้างคุณค่าทั้งทางเศรษฐกิจ สังคม และสิ่งแวดล้อม โดยสนับสนุนชุมชนท้องถิ่น ใช้ทรัพยากรอย่างรับผิดชอบ และมีคุณค่า สร้างความสุขให้แก่ลูกค้า พนักงาน ตัวเราและผู้มีส่วนเกี่ยวข้องทุกฝ่าย.</t>
  </si>
  <si>
    <t>คุณภาพอาหารและนวัตกรรมเมนู</t>
  </si>
  <si>
    <t>ทะยานสู่ยอดขายเพิ่ม 15,000 บาทต่อวันด้วยซอสผัดไทยสูตรผลไม้ท้องถิ่นและของฝากมาตรฐาน อย. พร้อมวางระบบ SOP พลิกโฉมสู่ Food Truck ทันสมัยเพื่อขยายแฟรนไชส์สู่สากลในปี 2026 บนฐานความสุขของตัวเรา ทีมงาน และลูกค้า ผ่านการสนับสนุนวัตถุดิบชุมชนอย่างเกื้อกูล และใช้ทรัพยากรอย่างรับผิดชอบต่อสิ่งแวดล้อมในทุกขั้นตอน</t>
  </si>
  <si>
    <t>RAP69-021</t>
  </si>
  <si>
    <t>Recharge Cafa</t>
  </si>
  <si>
    <t>ความปลอดภัยอาหารและมาตรฐาน</t>
  </si>
  <si>
    <t>แบรนด์และโมเดลธุรกิจ</t>
  </si>
  <si>
    <t>การตลาดและฐานลูกค้า</t>
  </si>
  <si>
    <t>RAP69-022</t>
  </si>
  <si>
    <t>หมึกสดริมเล</t>
  </si>
  <si>
    <t>การเงิน ต้นทุน และกำไร</t>
  </si>
  <si>
    <t>ระบบปฏิบัติการร้านและการบริการ</t>
  </si>
  <si>
    <t xml:space="preserve">เป้าหมายของร้านหมึกสดริมเลในปีนี้
1มีระบบหลังบ้านที่แข็งแรง SOP พนักงาน รวมไปถึงระบบสูตรอาหารคำนวณต้นทุน , Stock , ต้องทำให้ครบทุกเมนูในปีนี้ และปีนี้ระบบหลังบ้านจะต้องแข็งแรงที่สุดในรอบ 5 ปี ตั้งแต่เปิดมา
2.รักษายอดขายให้ได้ 1.5 ล้าน  / เดือน หรือทำยอดขายให้มากขึ้นกว่านั้น  
3.สร้างตัวตนในโลกออนไลน์การตลาดออนไลน์ให้มากกว่านี้ 
4.ขยาย หมึกสดริมเล โมเดลเล็กๆไป บางแสนให้ได้ </t>
  </si>
  <si>
    <t>ช่วยส่งเสริมให้ชาวประมง คนเรือ ให้มีรายได้มากขึ้นและมั่นคงกว่าเดิม</t>
  </si>
  <si>
    <t>ปฏิวัติระบบหลังบ้านและสูตรอาหารให้แข็งแกร่งที่สุดในรอบ 5 ปี ควบคู่การรุกตลาดออนไลน์และขยายสาขาโมเดลเล็กที่บางแสนเพื่อสร้างยอดขายเสถียรเกิน 1.5 ล้านบาทต่อเดือน โดยยืนหยัดส่งมอบอาหารทะเลที่สดใหม่ แปลกใหม่ และอร่อย บนฐานการจับมือร่วมกับชาวประมงและคนเรือท้องถิ่นเพื่อสร้างรายได้ที่มั่นคงและเกื้อกูลวิถีชุมชนริมเลอย่างยั่งยืนในปี 2026</t>
  </si>
  <si>
    <t>RAP69-023</t>
  </si>
  <si>
    <t>บ้านแมะคาเฟ่</t>
  </si>
  <si>
    <t>เครือข่าย วัตถุดิบ และห่วงโซ่อุปทาน</t>
  </si>
  <si>
    <t>เป้าหมายในปี2026
เป็นจุดหมายปลายทางของนักท่องเที่ยวที่มาเที่ยวจันทบุรี
* ติด Top คาเฟ่ที่นักท่องเที่ยวค้นหาในจันทบุรี
* มีลูกค้าใหม่จากนักท่องเที่ยวไม่น้อยกว่า 50%
* สร้างประสบการณ์ “จากเกษตรกรถึงลูกค้าโดยตรง“
พัฒนาสินค้าแบรนด์บ้านแมะ ให้จัดเจนและเข้มแข็งมากขึ้น เพื่อการขยายสาขา
สร้างระบบร้านให้ทำงานได้แม้เจ้าของไม่อยู่
* มีหัวหน้าทีมแต่ละแผนก
* จัดทำระบบ SOP ให้ชัดเจนยิ่งขึ้น
* ลดปัญหางานตกหล่น
* เจ้าของสามารถออกไปพัฒนาธุรกิจได้มากขึ้น
พัฒนาทีมงาน
* จัดอบรมพนักงาน สร้างทีมงานที่มีทักษะ เก่ง เพื่อการเป็นมืออาชีพ</t>
  </si>
  <si>
    <t>- เราสนับสนุนและรับซื้อผลผลิตจากเกษตรกรในพื้นที่เพื่อสร้างรายได้หมุนเวียนในชุมชน
- สนับสนุนทุนการศึกษา ด้านกีฬา นักเรียนเรียนดี ของโรงเรียนในชุมชน (โรงเรียนบ้านเนินดินแดง / โรงเรียนมัธยมวัดเขาสุกิม)
- ให้การสนับสนุนการมีงานทำ ของนักเรียนในชุมชน ให้มีอาชีพเสริม หลังจากเลิกเรียนหรือวันหยุด และเรารองรับการมีงานทำ ของนักเรียนที่มีความประสงค์เรียนจบแล้ว อยากมีงานทำเลย
- สนับสนุนโรงทาน เลี้ยงโรงทาน ของทางวัดประจำจังหวัดในชุมชน เวลามีงานหรือเทศกาลต่างๆ</t>
  </si>
  <si>
    <t>ด้านสิ่งแวดล้อม
- ทางร้านมีการคัดแยกขยะก่อนนำไปทิ้ง และแยกขยะสิ่งไหนเก็บไว้ขายต่อได้
- เศษอาหาร ทางร้านได้นำไปให้เป็นอาหารสัตว์ เลี้ยงปลา เลี้ยงไก่
- กากกาแฟทางร้านได้นำไปตากแล้วทำเป็นปุ๋ย ใส่ต้นไม้ แปลงผัก และแปลงดอกไม้ของทางร้าน</t>
  </si>
  <si>
    <t>ปั้นบ้านแมะสู่ Top คาเฟ่จันทบุรีด้วยระบบ SOP ที่พร้อมขยายสาขาปี 2026 ควบคู่การสร้างงานและมอบทุนการศึกษาแก่เยาวชน พร้อมจัดการขยะหมุนเวียนในร้าน เพื่อความสุขของทีมงานและการมีเวลาให้ครอบครัวอย่างยั่งยืน</t>
  </si>
  <si>
    <t>RAP69-024</t>
  </si>
  <si>
    <t>ความพร้อมเติบโตและเข้าร่วมโครงการ</t>
  </si>
  <si>
    <t>ร้านทองม้วนคุณใบ้</t>
  </si>
  <si>
    <t>ป้าหมายปีนี้ 2026
1.จัดทำคู่มือในการทำขนมทองม้วน
2.จัดระบบการทำงานในร้านทั้งหน้าร้าน และหลังร้าน
3.จัดหาระบบ POS ที่ช่วยจัดการการขาย,บัญชี,สต๊อกวัตถุดิบและสินค้า
4.เพิ่มร้านค้าพันธมิตรเพื่อรับขนมทองม้วนไปขายต่อ (B2B)
5.พัฒนาขนมทองม้วนรสชาติใหม่</t>
  </si>
  <si>
    <t>ยกระดับระบบปฏิบัติการภายในร้าน พัฒนาทองม้วนรสชาติใหม่ ขยายตลาดออนไลน์ และ B2B สนับสนุนวัตถุดิบท้องถิ่น สืบทอดภูมิปัญญาขนมไทย และลดผลกระทบต่อสิ่งแวดล้อมในการดำเนินธุรกิจ</t>
  </si>
  <si>
    <t>ยกระดับระบบปฏิบัติการภายในร้านเพื่อเพิ่มประสิทธิภาพการทำงานอย่างเป็นระบบ ควบคู่การขยายตลาดออนไลน์ B2B และพัฒนาทองม้วนรสชาติใหม่เพื่อเพิ่มยอดขายในปี 2026 บนฐานความยั่งยืนร่วมกับท้องถิ่น ด้วยการสนับสนุนวัตถุดิบชุมชนและสืบทอดภูมิปัญญาขนมไทยอันทรงคุณค่า พร้อมใส่ใจสิ่งแวดล้อมด้วยการลดผลกระทบจากการดำเนินธุรกิจในทุกขั้นตอน</t>
  </si>
  <si>
    <t>ลำดับ</t>
  </si>
  <si>
    <t>RAP69-025</t>
  </si>
  <si>
    <t>ร้านไชโย</t>
  </si>
  <si>
    <t>RAP69-026</t>
  </si>
  <si>
    <t xml:space="preserve">ก๋วยเตี๋ยวปากหม้อ เกวียนนิยม </t>
  </si>
  <si>
    <t>RAP69-027</t>
  </si>
  <si>
    <t>Chatrium Golf Resort Soidao</t>
  </si>
  <si>
    <t>RAP69-028</t>
  </si>
  <si>
    <t>มาเว้า MA WAO</t>
  </si>
  <si>
    <t>RAP69-029</t>
  </si>
  <si>
    <t>ร้านต้นสลัด</t>
  </si>
  <si>
    <t>RAP69-030</t>
  </si>
  <si>
    <t>The Sunset Deck</t>
  </si>
  <si>
    <t>RAP69-031</t>
  </si>
  <si>
    <t>ร้านครัวรวมรส ๒๕๖๔ จังหวัดตราด</t>
  </si>
  <si>
    <t>ทำการตลาดให้ลูกค้ารู้จักร้านให้มากขึ้น เน้นพัฒนาสูตรอาหารและระบบหลังร้านใหมีประสิทธิภาพมากที่สุด เพื่อที่จะได้มีเวลาไปจัดการเรื่องอื่นโดยไม่ต้องคอยเฝ้าร้าน และลงมือทำเองทุกอย่างในร้าน</t>
  </si>
  <si>
    <t>RAP69-032</t>
  </si>
  <si>
    <t>ร้านคดข้าว</t>
  </si>
  <si>
    <t>เป้าหมาย ของร้านคดข้าว 5 ข้อ
1.ต้องการพัฒนา แบรนด์และสานต่อระบบ SOP ที่ดีเยี่ยม 
2.ต้องการพัฒนาผลิตภัณฑ์ และต่อยอด ธุรกิตเฟรนไซน์ 
3.พัฒนาและ สารต่ออัตลักษณ์ของอาหารพื้นถิ่นจันท์
4.พัฒนาแรงงานและสร้างมาตรฐานการบริการที่ดีเยี่ยม 
5. สร้างแบรนด์ ให้ เป็น ที่จดจำและเป็นแบบอย่าง ในระดับประเทศ</t>
  </si>
  <si>
    <t>ร้านคดข้าวมุ่งมั่นเติบโตไปพร้อมกับท้องถิ่น โดย เกษตรกรจันทบุรีจะได้รับรายได้ที่มั่นคงและเป็นธรรม (Fair Trade) จากการที่ร้านเข้าทำสัญญาซื้อขายวัตถุดิบอัตลักษณ์เมืองจันท์โดยตรง (Contract Farming) ไม่ผ่านคนกลาง ทั้งกลุ่มผลไม้ตามฤดูกาลและพืชสมุนไพรพื้นบ้าน ทำให้ชาวสวนมีตลาดรองรับผลผลิตที่แน่นอนในราคาที่เหมาะสม ส่วน ชุมชนจะได้รับการยกระดับเศรษฐกิจและการท่องเที่ยว ผ่านการชูภูมิปัญญา 'รสมือยาย' และวัตถุดิบท้องถิ่นมาสร้างมูลค่าเพิ่มเป็นผลิตภัณฑ์สร้างชื่อให้จังหวัด พร้อมกันนี้ ชุมชนยังจะได้รับประโยชน์จากแนวคิดความยั่งยืนที่ร้านนำระบบ SOP มาบริหารจัดการขยะอาหาร (Zero Waste) เพื่อลดผลกระทบต่อสิ่งแวดล้อม และสร้างโมเดลธุรกิจต้นแบบที่เป็นมิตรต่อชุมชนอย่างแท้จริง</t>
  </si>
  <si>
    <t>ยกระดับระบบ SOP และมาตรฐานบริการเพื่อรักษาคุณค่ารสชาติเก่าเล่าด้วยใจสู่อินเตอร์ ควบคู่การวางระบบครัวกลางและพัฒนาผลิตภัณฑ์พร้อมสเกลขยายสาขาทั่วประเทศในปี 2026 บนฐานความยั่งยืนร่วมกับท้องถิ่น ด้วยการทำข้อตกลงกับกลุ่มเกษตรกรเมืองจันท์เพื่อสร้างรายได้ที่เป็นธรรม (Fair Trade) ควบคู่กับการสืบสานภูมิปัญญาอาหารพื้นถิ่น และบริหารจัดการขยะอาหารในร้านเป็นศูนย์ (Zero Waste) เพื่อเป็นโมเดลธุรกิจต้นแบบที่สร้างความสุขให้ทั้งชุมชนและผู้บริโภค</t>
  </si>
  <si>
    <t>RAP69-033</t>
  </si>
  <si>
    <t>GRID GARDEN</t>
  </si>
  <si>
    <t>เป้าหมายในปีนี้ของร้าน "Grid Garden"
มุ่งมั่นพัฒนาพื้นที่แห่งความสุขของครอบครัวให้มีระบบการจัดการที่สมบูรณ์ โดยการ จัดทำ SOP มาตรฐานการบริการที่เป็นมิตรต่อสัตว์เลี้ยง (Pet-Friendly)  ควบคู่ไปกับการ ผลักดันแผนก 'หวานตามกาล' เพื่อรังสรรค์เมนูของหวานและไอศกรีมโฮมเมดคราฟต์จากผลไม้ตามฤดูกาล และ พัฒนาแผนกเบเกอรี่ ให้เน้นการผลิตสินค้ากลุ่มของฝากประเภทหิ้วกลับบ้าน (Take-home) ที่มีดีไซน์และบรรจุภัณฑ์ที่พรีเมียม เพื่อสร้างประสบการณ์คาเฟ่ในสวนที่ครบวงจรและพร้อมเติบโตในฐานะเช็คอินสปอตสำคัญของจันทบุรี</t>
  </si>
  <si>
    <t>สนับสนุนกลุ่มชาวสวนผลไม้เมืองจันท์ผ่านแบรนด์ "หวานตามกาล" และสร้างพื้นที่ส่วนรวม (Community) ที่ปลอดภัยและเป็นมิตรสำหรับครอบครัวและคนรักสัตว์เลี้ยง</t>
  </si>
  <si>
    <t>ใช้ผลิตภัณฑ์ทำความสะอาดและดูแลสวนที่เป็นออร์แกนิก $100\%$ เพื่อความปลอดภัยของสัตว์เลี้ยง'</t>
  </si>
  <si>
    <t>ปักหมุดจุดขายคาเฟ่ในสวนด้วยระบบ SOP บริการ Pet-Friendly เต็มรูปแบบ ควบคู่การปั้นของหวาน 'หวานตามกาล' และเบเกอรี่ของฝากพรีเมียมจากผลไม้เมืองจันท์เพื่อขึ้นแท่นเช็คอินสปอตสำคัญในปีนี้ บนฐานความสุขที่ได้เห็นรอยยิ้มของทุกครอบครัวและสัตว์เลี้ยงในพื้นที่ปลอดภัยที่ใช้ออร์แกนิก $100\%$ พร้อมเกื้อกูลชาวสวนท้องถิ่นและทำปุ๋ยหมักหมุนเวียนบำรุงสวนอย่างยั่งยืน</t>
  </si>
  <si>
    <t>RAP69-034</t>
  </si>
  <si>
    <t>เทียบจันท์</t>
  </si>
  <si>
    <t>RAP69-035</t>
  </si>
  <si>
    <t>The Chanthaboon Coffee กาแฟจันทบูร</t>
  </si>
  <si>
    <t>1.เพิ่มยอดขายเฉลี่ยให้ได้ 100,000 บาทต่อเดือน โดยเพิ่มรายได้ต่อหัวของลูกค้าผ่านการจำหน่ายเครื่องดื่ม ขนม และอาหารที่เหมาะกับร้านกาแฟ (ตอนนี้ยังไม่มีเมนู ขนม และ อาหารชัดเจน ซึ่งลูกค้าหลายคนถามหา ว่ามีอาหารทานไหม) รวมถึงการพัฒนาเมนูชุด (Set Menu) เพื่อกระตุ้นการซื้อหลายรายการต่อครั้ง
2.พัฒนาเมนูอาหารและขนมอย่างเป็นทางการ เพื่อสร้างทางเลือกให้ลูกค้า เพิ่มมูลค่าต่อบิล และรองรับการเติบโตของยอดขายในอนาคต
3.วางระบบสต็อกและการจัดซื้อให้มีประสิทธิภาพ เพื่อควบคุมต้นทุน ลดการสูญเสียวัตถุดิบ และป้องกันปัญหาสินค้าขาดสต็อก
4.จัดทำคู่มือการทำงาน (SOP) สำหรับงานหน้าร้านและหลังร้าน เพื่อให้การทำงานมีมาตรฐาน ลดความผิดพลาด และสามารถส่งมอบสินค้าและบริการได้อย่างสม่ำเสมอ
5.พัฒนาระบบบริหารจัดการร้านและกระจายหน้าที่ความรับผิดชอบให้ทีมงาน เพื่อให้ธุรกิจสามารถดำเนินงานได้อย่างเป็นระบบ และลดการพึ่งพาเจ้าของกิจการ
6.ดำเนินการตลาดอย่างต่อเนื่องทั้งออนไลน์และออฟไลน์ เพื่อสร้างการรับรู้แบรนด์ เพิ่มฐานลูกค้าใหม่ รักษาฐานลูกค้าเดิม และสนับสนุนการเติบโตของยอดขาย
เป้าหมายสูงสุด
ยกระดับกาแฟจันทบูรให้เป็นร้านกาแฟที่มีระบบบริหารจัดการที่เข้มแข็ง มียอดขายเติบโตอย่างยั่งยืน เป็นแหล่งเรียนรู้ด้านกาแฟ และเป็นหนึ่งในจุดหมายปลายทางของนักท่องเที่ยวและคนรักกาแฟในจังหวัดจันทบุรี :::</t>
  </si>
  <si>
    <t>-เป็นพื้นที่พบปะ พูดคุย และแลกเปลี่ยนเรียนรู้ของผู้คนทั้งชาวไทยและชาวต่างชาติ
-สร้างโอกาสในการเรียนรู้เรื่องกาแฟ ตั้งแต่การปลูก การแปรรูป ไปจนถึงการชงกาแฟ
-ถ่ายทอดเรื่องราวประวัติศาสตร์ วัฒนธรรม และวิถีชีวิตของชุมชนจันทบุรีผ่านกาแฟ
-สนับสนุนเกษตรกร ผู้ผลิต และผู้ประกอบการในท้องถิ่นให้มีรายได้เพิ่มขึ้นจากกาแฟ
-สร้างงานและพัฒนาทักษะให้กับทีมงานและคนในชุมชน
-ผลักดันให้ผู้คนทั้งในและต่างประเทศรับรู้ว่าจันทบุรีมีประวัติการปลูกกาแฟมายาวนาน และเป็นแหล่งผลิตกาแฟคุณภาพของไทย</t>
  </si>
  <si>
    <t>-ส่งเสริมการปลูกกาแฟแบบพืชผสมผสานในสวนดั้งเดิมของเกษตรกร
-ช่วยให้เกษตรกรไม่จำเป็นต้องโค่นพืชเศรษฐกิจเดิมทิ้ง แต่สามารถปลูกกาแฟเป็นรายได้เสริมควบคู่กันได้
-สนับสนุนระบบเกษตรที่มีความหลากหลายทางชีวภาพ มากกว่าการปลูกพืชเชิงเดี่ยว
-ช่วยรักษาความอุดมสมบูรณ์ของดินและระบบนิเวศภายในสวน
-เพิ่มพื้นที่สีเขียวและร่มเงาให้กับแปลงเกษตร
-ลดการสูญเสียและของเสียจากการบริหารจัดการวัตถุดิบอย่างมีประสิทธิภาพ
-ส่งเสริมการใช้วัตถุดิบจากท้องถิ่น เพื่อลดการขนส่งและสร้างความยั่งยืนให้กับชุมชน</t>
  </si>
  <si>
    <t>ผลักดันยอดขายสู่ 100,000 บาทต่อเดือนด้วยเมนูและเซ็ตอาหารใหม่ วางระบบสต็อก และ SOP ให้ร้านรันได้เองในปี 2026 บนฐานความสุขที่ได้เล่าขานประวัติศาสตร์และส่งต่อคุณค่ากาแฟจันทบุรีสู่ระดับโลก ควบคู่การสร้างรายได้และพัฒนาทักษะคนในชุมชน พร้อมขับเคลื่อนสิ่งแวดล้อมที่ยั่งยืนผ่านการส่งเสริมเกษตรกรปลูกกาแฟร่วมในสวนดั้งเดิมเพื่อรักษาความหลากหลายทางชีวภาพและระบบนิเวศอย่างมั่นคง</t>
  </si>
  <si>
    <t>RAP69-036</t>
  </si>
  <si>
    <t>Garagecafechan</t>
  </si>
  <si>
    <t>RAP69-037</t>
  </si>
  <si>
    <t>จันทรโภชนา</t>
  </si>
  <si>
    <t>สร้างและวางตลาดผลิตภัณฑ์ “จันทร” อย่างมีแนวทางที่มั่นคงในระยะยาว ไม่หวือหวา โดยยึดคุณค่าท้องถิ่นสู่มูลค่าทางธุรกิจ</t>
  </si>
  <si>
    <t>สร้างและวางตลาดผลิตภัณฑ์ “จันทร” กลุ่มเส้นจันท์ และ สมุนไพร นำคุณค่าท้องถิ่นสู่มูลค่าทางธุรกิจ สู่การเป็นเมืองสร้างสรรค์ด้านอาหาร</t>
  </si>
  <si>
    <t>ยกระดับร้านอาหารจันทรโภชนาควบคู่การวางตลาดผลิตภัณฑ์ 'จันทร' กลุ่มเส้นจันท์และสมุนไพร เพื่อเปลี่ยนคุณค่าท้องถิ่นสู่มูลค่าธุรกิจอย่างมั่นคง บนฐานความสุขที่ได้ขับเคลื่อนจันทบุรีสู่เมืองสร้างสรรค์ด้านอาหาร ตลอดจนยกระดับเศรษฐกิจชุมชนและภูมิปัญญาท้องถิ่นอย่างยั่งยืน</t>
  </si>
  <si>
    <t>RAP69-038</t>
  </si>
  <si>
    <t>Grizzly Gelato</t>
  </si>
  <si>
    <t>ป้าหมายในปีนี้
1. ครึ่งปีหลังยอด x2 ของครึ่งปีแรก
2. สร้างช่องติ๊กตอกร้านอาหาร ให้เป็นช่องดัง ผู้ติดตามหลักพันคน
3. ปั้นเพจเฟสบุคร้านไอติมให้ตัวตนชัด
4. สร้างระบบหลังบ้านให้แน่น พร้อมขยายสาขาปีหน้า</t>
  </si>
  <si>
    <t>เน้นยกระดับวัตถุดิบท้องถิ่น เช่นพวกผลไม้พันธุ์ที่ไม่เป็นที่นิยม หรือขายไม่ได้ราคา เอามาทำเป็นไอติมที่เพิ่มความคิดสร้างสรรค์เข้าไป</t>
  </si>
  <si>
    <t>ลุยปั๊มยอดขายครึ่งปีหลังให้โตเป็น 2 เท่า ควบคู่การสร้างตัวตนบน TikTok และ Facebook พร้อมเซ็ตระบบหลังบ้านให้แน่นเพื่อเตรียมขยายสาขา บนฐานการทำงานที่มีความสุขผ่านการทำ R&amp;D ไอติมรสชาติใหม่ ๆ ที่ชวนว้าว และมุ่งยกระดับผลไม้ท้องถิ่นสายพันธุ์นอกกระแสให้มีมูลค่าเพิ่ม เพื่อกระจายรายได้และสร้างรอยยิ้มกลับคืนสู่เกษตรกรในชุมชน</t>
  </si>
  <si>
    <t>RAP69-039</t>
  </si>
  <si>
    <t>ครัวตามธาตุ</t>
  </si>
  <si>
    <t>RAP69-040</t>
  </si>
  <si>
    <t>จิน ข้าวมันไก่สไตล์สิงคโปร์</t>
  </si>
  <si>
    <t>เป้าหมายที่ชัดเจน ในปีนี้ของ จิน ข้าวมันไก่สไตล์สิงคโปร์
1. ทำระบบ SOP ในทุกๆกระบวนการ ให้จบสมบูรณ์ 100% พร้อมรูปประกอบในทุกๆกระบวนการ  รวมถึงผังองค์กรที่สมบูรณ์ ให้แล้วเสร็จไม่เกินเดือนกันยายนนี้
**ตอนนี้สูตรมาตรฐานในทุกๆสัดส่วนครบค่ะ แต่เรื่องรูปภาพยังไม่สมบูรณ์เรียบร้อยแบบ 100% และยังไม่ออกมาเป็นรูปเล่มที่สมบูรณ์
2. จัดทำระบบครัวกลางในห้องมาตรฐานเพื่อรักษาคุณภาพตั้งแต่กระบวนการ ขึ้นน้ำจิ้ม น้ำซอสต่างๆ จนถึงการบรรจุให้มีมาตรฐานเพื่อกระจายไปยัง 2 สาขาของทางจิน
3. จัดการเรื่องการเบิกจ่าย สต๊อควัตถุดิบหลังบ้านให้มีความเสถียรมากที่สุด 
4. จัดการเรื่องการหาโปรแกรมที่เป็นตัวช่วยเรื่องลำดับการเรียงคิว ลูกค้าจะได้ทราบลำดับและเวลาการรอของคิวตัวเอง
5.เรื่องแฟรนไซส์ทาง จิน ตั้งใจว่าจะไม่ทำค่ะ แต่จะเป็นการขยายสาขาจากทางเราที่เป็นเจ้าของเอง ในพื้นที่ และ ระยะเวลาที่เหมาะสม</t>
  </si>
  <si>
    <t>1.กระดูกจากโครงไก่ เรานำมาใส่ในน้ำซุป และสุดท้ายเราจะตักออกมากรองเพื่อรวมกับเศษอาหารนำไปให้กับคนที่มารับไปเลี้ยงสุนัขในศูนย์พักพิง แตงกวา 2.ตอนนี้ทางร้านใช้ของ สวนแถวๆเสม็ดงามในจันทบุรีเป็นหลัก เพื่อส่งเสริมการปลูกผักแบบอินทรีย์ในพื้นที่จันทบุรี
3.พริกไทยเราใช้ พริกไทยของ อ.ท่าใหม่ ที่เป็นกลุ่มวิสาหกิจชุมชน</t>
  </si>
  <si>
    <t>ตอนนี้จินมีวิธีจัดการขยะ พยายามจัดการ ให้ เกิด Waste ให้น้อยที่สุด
เศษผักต่างๆ ทางจินพยายามบริหารให้หมด แต่จะมีบ้างที่เหลือจะเอาไปหมักทำปุ๋ยอินทรีย์ที่สวน</t>
  </si>
  <si>
    <t>วางรากฐานระบบครัวกลาง คู่มือ SOP และใช้เทคโนโลยีจัดการคิวและสต๊อกอย่างเต็มรูปแบบ เพื่อควบคุมมาตรฐาน 2 สาขาและพร้อมรองรับการขยายตัวในปี 2026 ควบคู่การสร้างระบบครัวหมุนเวียนเพื่อลดขยะอาหารให้เหลือน้อยที่สุด (Zero Food Waste) และมุ่งเน้นการสนับสนุนเกษตรกรอินทรีย์รวมถึงวิสาหกิจชุมชนในจันทบุรีเพื่อกระจายรายได้และเติบโตไปด้วยกันอย่างยั่งยืน</t>
  </si>
  <si>
    <t>RAP69-041</t>
  </si>
  <si>
    <t>สุขทุกวัน คาเฟ่</t>
  </si>
  <si>
    <t>สิ่งที่ต้องทำ
1. จัดเรียงอาหารใช้ก่อนหลัง
2. ทำต้นทุนอาหารแค่ละอย่าง
3. วางแผนการตลาดในแต่ละเดือน (ให้ขายได้ทั้งปี)
4. คิดเมนูพิเศษตามเทศกาล
5. ต่อยอดสินค้าให้เป็นสินค้าแบรนด์ตัวเอง
 สิ่งที่ต้องเลิกทำ
1. เลิกทำงานไม่เป็นระบบ
2. เลิกทำงานที่ไม่มีการวางแผนมาก่อน
3. เลิกทำเมนูที่ขายได้น้อย
4. เลิกก๊อปปี้เมนูที่ร้านอื่นขายดี
5. เลิกเข้าข้างตัวเองแล้วฟังความเห็นลูกค้า</t>
  </si>
  <si>
    <t>มีการสร้างโอกาส สร้างชุมชนเข้มแข็งอยู่แล้ว และมีการใช้วัตถุดิบจากท้องถิ่น เช่น นมวัว ไข่สนุกสนาน ผัก ผลไม้ ในเครือข่ายของ สุขทุกวันคาเฟ่ พร้อม สร้างเมนูเครื่องดื่ม และ อาหารให้สอดคล้องกับ วัตถุดิบ นั้น ๆ เป็นประจำครับ รวมถึงแรงงานเรา ก็ให้โอกาส น้อง ๆ ในพื้นที่ เข้ามาทำงาน เรียนรู้งานที่คาเฟ่ ของเราจ้า เพื่อลดต้นทุนค่าเดินทางเข้าเมือง ให้ชุมชน</t>
  </si>
  <si>
    <t>สิ่งแวดล้อม เราทำคาเฟ่ไม้ไผ่ ปลูกผัก ผลไม้ ปลอดสารพิษ ปลูกต้นไม้ ผัก ผลไม้เพิ่ม แบบ อินทรีย์</t>
  </si>
  <si>
    <t>ล้างไพ่ระบบเดิมสู่การควบคุมต้นทุนและจัดเก็บวัตถุดิบอย่างเป็นระบบ ปรับปรุงเมนูตามเทศกาล ปั้นแบรนด์สินค้าตัวเอง และรุกการตลาดสร้างตัวตนร้านสุขทุกวันคาเฟ่ให้เป็นที่รู้จักทุกช่องทางในปี 2026 บนฐานความสุขทุกวันในการรักษาธรรมชาติวิถีอินทรีย์และการสร้างอาหารคือยา พร้อมเชื่อมโยงวัตถุดิบท้องถิ่น สร้างงานให้เยาวชน และเปิดพื้นที่คาเฟ่ไม้ไผ่ให้เป็นศูนย์รวมกิจกรรมที่สร้างความอบอุ่น สมาธิ และรอยยิ้มให้กับทุกครอบครัวอย่างยั่งยืน</t>
  </si>
  <si>
    <t>RAP69-042</t>
  </si>
  <si>
    <t>เลย เดอ ลอง</t>
  </si>
  <si>
    <t>เป้าหมาย ในปีนี้ของ เลย เดอ ลอง
"ต้องการเพิ่มยอดขายร้านเติบโต 100% โดยที่ยังสามารถมีกำไรสุทธิไม่น้อยกว่า 25% ภายในปี2569 "</t>
  </si>
  <si>
    <t>ใช้วัตถุดิบพื้นถิ่น พัฒนาร่วมกับชุมชน และสามารถอยู่ร่วมกับชุมชนได้แบบไม่สร้างปัญหา ที่เกิดจากร้านอาหาร</t>
  </si>
  <si>
    <t>มุ่งสร้างยอดขายให้เติบโต 100% พร้อมรักษาอัตรากำไรสุทธิไม่น้อยกว่า 25% ภายในปี 2569 ควบคู่การเป็นร้านอาหารต้นแบบที่พัฒนาเมนูร่วมกับชุมชนด้วยการใช้วัตถุดิบพื้นถิ่น และจัดการระบบร้านอย่างใส่ใจไม่สร้างมลพิษให้สิ่งแวดล้อม บนฐานความสุขและความวางใจของครอบครัวที่สามารถรับประทานอาหารในร้านของตัวเองได้อย่างปลอดภัยและภาคภูมิใจในทุก ๆ วัน</t>
  </si>
  <si>
    <t>RAP69-043</t>
  </si>
  <si>
    <t>ร้านที่ 43</t>
  </si>
  <si>
    <t>RAP69-044</t>
  </si>
  <si>
    <t>ร้านที่ 44</t>
  </si>
  <si>
    <t>RAP69-045</t>
  </si>
  <si>
    <t>ร้านที่ 45</t>
  </si>
  <si>
    <t>RAP69-046</t>
  </si>
  <si>
    <t>ร้านที่ 46</t>
  </si>
  <si>
    <t>RAP69-047</t>
  </si>
  <si>
    <t>ร้านที่ 47</t>
  </si>
  <si>
    <t>RAP69-048</t>
  </si>
  <si>
    <t>ร้านที่ 48</t>
  </si>
  <si>
    <t>ข้อ</t>
  </si>
  <si>
    <t>RAP69-049</t>
  </si>
  <si>
    <t>ร้านที่ 49</t>
  </si>
  <si>
    <t>คะแนนเต็ม</t>
  </si>
  <si>
    <t>รายการประเมิน</t>
  </si>
  <si>
    <t>หลักฐาน/วิธีเก็บ</t>
  </si>
  <si>
    <t>ร้านมีเมนูหลักที่ขายดีและลูกค้าจดจำได้ชัดเจน</t>
  </si>
  <si>
    <t>เมนู/ยอดขาย/รีวิว</t>
  </si>
  <si>
    <t>รสชาติอาหารมีความสม่ำเสมอ</t>
  </si>
  <si>
    <t>ชิม/สังเกต/รีวิว</t>
  </si>
  <si>
    <t>RAP69-050</t>
  </si>
  <si>
    <t>ร้านที่ 50</t>
  </si>
  <si>
    <t>มีสูตรมาตรฐานหรือวิธีทำที่บันทึกไว้</t>
  </si>
  <si>
    <t>Recipe Card/สูตร</t>
  </si>
  <si>
    <t>วัตถุดิบหลักมีคุณภาพและควบคุมความสดได้</t>
  </si>
  <si>
    <t>วัตถุดิบ/คลัง/ซัพพลายเออร์</t>
  </si>
  <si>
    <t>เมนูมีจุดเด่นหรืออัตลักษณ์เฉพาะของร้าน</t>
  </si>
  <si>
    <t>เมนู Signature/เรื่องเล่า</t>
  </si>
  <si>
    <t>มีการรับฟังความคิดเห็นลูกค้าเพื่อนำมาปรับเมนู</t>
  </si>
  <si>
    <t>รีวิว/แบบสอบถาม/แชต</t>
  </si>
  <si>
    <t>มีโอกาสพัฒนาเมนู Signature หรือเมนูใหม่เพื่อเพิ่มยอดขาย</t>
  </si>
  <si>
    <t>ทดลองขาย/ต้นทุน/สูตรต้นแบบ</t>
  </si>
  <si>
    <t>พื้นที่ครัวสะอาด เป็นระเบียบ และแยกโซนเหมาะสม</t>
  </si>
  <si>
    <t>ภาพครัว/โซนงาน</t>
  </si>
  <si>
    <t>มีการจัดเก็บวัตถุดิบสด แห้ง และปรุงสุกอย่างถูกสุขลักษณะ</t>
  </si>
  <si>
    <t>ตู้เย็น/ฉลาก/FIFO</t>
  </si>
  <si>
    <t>เจ้าของร้านหรือพนักงานมีความรู้พื้นฐานด้านสุขอนามัยอาหาร</t>
  </si>
  <si>
    <t>ใบอบรม/สัมภาษณ์</t>
  </si>
  <si>
    <t>มีการควบคุมวันหมดอายุของวัตถุดิบ</t>
  </si>
  <si>
    <t>สติกเกอร์วัน/Stock Card</t>
  </si>
  <si>
    <t>อุปกรณ์ครัว ภาชนะ และพื้นที่บริการสะอาดพร้อมใช้งาน</t>
  </si>
  <si>
    <t>อุปกรณ์/ตารางทำความสะอาด</t>
  </si>
  <si>
    <t>ร้านมีใบอนุญาตหรือเอกสารที่เกี่ยวข้องกับการจำหน่ายอาหาร</t>
  </si>
  <si>
    <t>ใบอนุญาต/เอกสารราชการ</t>
  </si>
  <si>
    <t>มีแนวทางป้องกันความเสี่ยง เช่น อาหารเสีย ปนเปื้อน หรือข้อร้องเรียนด้านสุขภาพ</t>
  </si>
  <si>
    <t>Checklist/แผนรับมือ</t>
  </si>
  <si>
    <t>ร้านมีชื่อ แบรนด์ หรือภาพจำที่ชัดเจน</t>
  </si>
  <si>
    <t>โลโก้/ป้าย/เพจ</t>
  </si>
  <si>
    <t>ร้านอธิบายได้ว่าลูกค้ามากินร้านนี้เพราะอะไร</t>
  </si>
  <si>
    <t>รีวิว/จุดขาย</t>
  </si>
  <si>
    <t>กลุ่มลูกค้าเป้าหมายของร้านมีความชัดเจน</t>
  </si>
  <si>
    <t>Persona/ข้อมูลลูกค้า</t>
  </si>
  <si>
    <t>ร้านมีเรื่องเล่าที่เชื่อมโยงกับอาหาร ท้องถิ่น หรือเจ้าของร้าน</t>
  </si>
  <si>
    <t>Brand Story/คอนเทนต์</t>
  </si>
  <si>
    <t>รูปแบบรายได้ของร้านชัดเจน เช่น หน้าร้าน เดลิเวอรี Catering หรือออกบูธ</t>
  </si>
  <si>
    <t>ยอดขายแยกช่องทาง</t>
  </si>
  <si>
    <t>ร้านมีแนวคิดในการต่อยอด เช่น สินค้าพร้อมขาย แพ็กเกจจิ้ง หรือแฟรนไชส์</t>
  </si>
  <si>
    <t>Prototype/Pitch idea</t>
  </si>
  <si>
    <t>ร้านมีช่องทางออนไลน์ เช่น Facebook, TikTok, LINE OA หรือ Google Maps</t>
  </si>
  <si>
    <t>ลิงก์เพจ/Google/TikTok</t>
  </si>
  <si>
    <t>ข้อมูลร้านออนไลน์ถูกต้อง เช่น เวลาเปิด-ปิด เบอร์โทร พิกัด และเมนู</t>
  </si>
  <si>
    <t>Screenshot ข้อมูลร้าน</t>
  </si>
  <si>
    <t>มีภาพอาหารหรือคอนเทนต์ที่ช่วยกระตุ้นยอดขาย</t>
  </si>
  <si>
    <t>โพสต์/รูป/วิดีโอ</t>
  </si>
  <si>
    <t>ร้านมีฐานลูกค้าประจำหรือมีวิธีทำให้ลูกค้ากลับมาซื้อซ้ำ</t>
  </si>
  <si>
    <t>LINE OA/CRM/ลูกค้าประจำ</t>
  </si>
  <si>
    <t>มีการทำโปรโมชันหรือกิจกรรมการตลาดอย่างเหมาะสม</t>
  </si>
  <si>
    <t>แคมเปญ/ยอดขายโปร</t>
  </si>
  <si>
    <t>ร้านรู้ว่าช่องทางใดสร้างยอดขายดีที่สุด</t>
  </si>
  <si>
    <t>POS/รายงานเดลิเวอรี</t>
  </si>
  <si>
    <t>ร้านมีโอกาสขยายตลาดใหม่ เช่น เดลิเวอรี ออกงาน หน่วยงาน โรงแรม หรือการท่องเที่ยว</t>
  </si>
  <si>
    <t>แผนขยายตลาด/คู่ค้า</t>
  </si>
  <si>
    <t>ร้านรู้ต้นทุนวัตถุดิบของเมนูหลัก</t>
  </si>
  <si>
    <t>Costing Sheet/ใบซื้อ</t>
  </si>
  <si>
    <t>ร้านตั้งราคาขายโดยอิงต้นทุนและกำไร</t>
  </si>
  <si>
    <t>ราคา/Gross Margin</t>
  </si>
  <si>
    <t>ร้านแยกเงินร้านกับเงินส่วนตัวออกจากกัน</t>
  </si>
  <si>
    <t>บัญชีแยก/เงินสด</t>
  </si>
  <si>
    <t>มีการบันทึกรายรับ-รายจ่ายอย่างสม่ำเสมอ</t>
  </si>
  <si>
    <t>สมุดบัญชี/Excel/POS</t>
  </si>
  <si>
    <t>ร้านรู้ยอดขายเฉลี่ยต่อวันและต่อเดือน</t>
  </si>
  <si>
    <t>ยอดขายรายวัน/เดือน</t>
  </si>
  <si>
    <t>ร้านรู้ว่าเมนูใดกำไรดี และเมนูใดควรปรับราคา</t>
  </si>
  <si>
    <t>Menu Profitability</t>
  </si>
  <si>
    <t>ร้านมีเงินหมุนเวียนเพียงพอสำหรับวัตถุดิบ ค่าแรง ค่าเช่า และค่าใช้จ่ายจำเป็น</t>
  </si>
  <si>
    <t>Cash Flow/ค่าใช้จ่าย</t>
  </si>
  <si>
    <t>ร้านมีขั้นตอนการเปิดร้าน-ปิดร้านที่ชัดเจน</t>
  </si>
  <si>
    <t>Checklist เปิด-ปิด</t>
  </si>
  <si>
    <t>มีการแบ่งหน้าที่ของเจ้าของร้าน พนักงานครัว และพนักงานบริการ</t>
  </si>
  <si>
    <t>ตารางเวร/Job Description</t>
  </si>
  <si>
    <t>อาหารไทย</t>
  </si>
  <si>
    <t>T1</t>
  </si>
  <si>
    <t>อาหารทะเล</t>
  </si>
  <si>
    <t>T2</t>
  </si>
  <si>
    <t>คาเฟ่</t>
  </si>
  <si>
    <t>T3</t>
  </si>
  <si>
    <t>เดลิเวอรี</t>
  </si>
  <si>
    <t>T4</t>
  </si>
  <si>
    <t>Catering</t>
  </si>
  <si>
    <t>อื่น ๆ</t>
  </si>
  <si>
    <t>เวลาการออกอาหารเหมาะสม ไม่ทำให้ลูกค้ารอนานเกินไป</t>
  </si>
  <si>
    <t>บันทึกเวลา/รีวิว</t>
  </si>
  <si>
    <t>มีมาตรฐานการบริการ เช่น ต้อนรับ รับออเดอร์ เสิร์ฟอาหาร และรับชำระเงิน</t>
  </si>
  <si>
    <t>Service SOP/สคริปต์</t>
  </si>
  <si>
    <t>มีระบบจัดการสต็อกวัตถุดิบเพื่อลดของเสีย</t>
  </si>
  <si>
    <t>Stock/Waste Log</t>
  </si>
  <si>
    <t>ร้านรับมือช่วงลูกค้าเยอะได้โดยคุณภาพไม่ตก</t>
  </si>
  <si>
    <t>Peak Time Plan</t>
  </si>
  <si>
    <t>มีระบบจัดการข้อร้องเรียนของลูกค้า</t>
  </si>
  <si>
    <t>Complaint Log/Chat</t>
  </si>
  <si>
    <t>ร้านมีแหล่งวัตถุดิบประจำที่เชื่อถือได้</t>
  </si>
  <si>
    <t>ซัพพลายเออร์/ใบส่งของ</t>
  </si>
  <si>
    <t>มีการใช้วัตถุดิบท้องถิ่นหรือวัตถุดิบเด่นของพื้นที่</t>
  </si>
  <si>
    <t>วัตถุดิบท้องถิ่น/ผู้ผลิต</t>
  </si>
  <si>
    <t>ร้านมีซัพพลายเออร์สำรอง หากวัตถุดิบหลักขาดตลาด</t>
  </si>
  <si>
    <t>แหล่งสำรอง</t>
  </si>
  <si>
    <t>มีความร่วมมือกับชุมชน กลุ่มเกษตรกร หรือผู้ผลิตท้องถิ่น</t>
  </si>
  <si>
    <t>MOU/กิจกรรมชุมชน</t>
  </si>
  <si>
    <t>Prompt สำหรับใช้กับ AI เพื่อช่วยกรอก ตรวจ และสรุปข้อมูลร้านจากไฟล์ Excel</t>
  </si>
  <si>
    <t>ร้านมีความเชื่อมโยงกับหน่วยงาน ภาคี หรือเครือข่ายธุรกิจในพื้นที่</t>
  </si>
  <si>
    <t>คู่ค้า/ภาคี/ออกงาน</t>
  </si>
  <si>
    <t>Prompt</t>
  </si>
  <si>
    <t>คุณคือผู้ช่วยวิเคราะห์ข้อมูลโครงการ THAI-RAP Restaurant Survival Diagnostic System
งานของคุณ:
1) อ่านไฟล์ Excel ที่แนบ ซึ่งมีข้อมูลร้าน 50 ร้าน และแบบประเมินร้านอาหาร 50 ข้อ ตาม 8 มิติ
2) ตรวจความครบถ้วนของข้อมูลในชีต 01_ข้อมูลร้าน และ 02_ประเมิน50ร้าน
3) สรุปผลรายร้านจากชีต 03_สรุปคะแนน เป็นภาษาไทยสำหรับ PMO/Assessor/Mentor
4) ระบุร้านที่มี Red Flag สูงสุด พร้อมข้อที่ควรแก้ไขเร่งด่วน
5) เสนอแผนพัฒนา 7/30/90 วันต่อร้าน โดยอิงจากมิติที่คะแนนต่ำสุด
6) สรุปภาพรวม 50 ร้าน เช่น คะแนนเฉลี่ย มิติที่อ่อนที่สุด มิติที่แข็งแรงที่สุด จำนวนร้านที่กรอกครบ และประเด็นร่วมที่พบมากที่สุด
กติกา:
- คะแนนแต่ละข้ออยู่ในช่วง 0-4 เท่านั้น
- คะแนน 0-1 ให้ถือเป็นประเด็นเสี่ยง/ต้องแก้ไข
- ไม่เดาข้อมูล หากข้อมูลไม่ครบให้บอกว่า “ข้อมูลไม่เพียงพอ”
- ใช้ข้อมูลจากชีตในไฟล์เท่านั้น ไม่แต่งข้อมูลร้านเพิ่มเอง
รูปแบบผลลัพธ์:
A) Executive Summary ภาพรวม 50 ร้าน ไม่เกิน 10 บรรทัด
B) ตาราง Top 10 ร้านที่ต้องเร่งช่วยเหลือ: รหัสร้าน, ชื่อร้าน, คะแนนถ่วงน้ำหนัก, Red Flag, มิติอ่อนสุด, คำแนะนำเร่งด่วน
C) สรุปรายร้าน: จุดแข็ง 3 ข้อ, จุดอ่อน 3 ข้อ, Red Flag, แผน 7/30/90 วัน
D) ข้อเสนอสำหรับทีมโครงการ: กิจกรรมอบรม/โค้ช/ลงพื้นที่ที่ควรจัดลำดับก่อน</t>
  </si>
  <si>
    <t>เจ้าของร้านมีความตั้งใจและเปิดรับการเปลี่ยนแปลง</t>
  </si>
  <si>
    <t>Mentoring Log</t>
  </si>
  <si>
    <t>ร้านพร้อมให้ทีมโครงการลงพื้นที่ ตรวจประเมิน และให้คำปรึกษาแบบ 1-on-1</t>
  </si>
  <si>
    <t>แบบยินยอม/นัดหมาย</t>
  </si>
  <si>
    <t>ร้านสามารถจัดเตรียมข้อมูลสำคัญ เช่น รูปเมนู รูปร้าน ยอดขาย ต้นทุน และปัญหาหลัก</t>
  </si>
  <si>
    <t>รูป/ยอดขาย/ต้นทุน</t>
  </si>
  <si>
    <t>ร้านมีเป้าหมายการพัฒนาภายใน 3-6 เดือน เช่น เพิ่มยอดขาย ลดต้นทุน ปรับเมนู ทำแบรนด์ หรือขยายช่องทางขาย</t>
  </si>
  <si>
    <t>Goal Sheet/OKR/IDP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</si>
</sst>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6">
    <font>
      <sz val="11.0"/>
      <color theme="1"/>
      <name val="Calibri"/>
      <scheme val="minor"/>
    </font>
    <font>
      <b/>
      <sz val="16.0"/>
      <color rgb="FF9A3412"/>
      <name val="Calibri"/>
    </font>
    <font>
      <b/>
      <sz val="11.0"/>
      <color rgb="FFFFFFFF"/>
      <name val="Calibri"/>
    </font>
    <font/>
    <font>
      <sz val="11.0"/>
      <color theme="1"/>
      <name val="Calibri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7ED"/>
        <bgColor rgb="FFFFF7ED"/>
      </patternFill>
    </fill>
    <fill>
      <patternFill patternType="solid">
        <fgColor rgb="FFF97316"/>
        <bgColor rgb="FFF97316"/>
      </patternFill>
    </fill>
    <fill>
      <patternFill patternType="solid">
        <fgColor rgb="FF1F2937"/>
        <bgColor rgb="FF1F2937"/>
      </patternFill>
    </fill>
    <fill>
      <patternFill patternType="solid">
        <fgColor rgb="FFD9D9D9"/>
        <bgColor rgb="FFD9D9D9"/>
      </patternFill>
    </fill>
  </fills>
  <borders count="8">
    <border/>
    <border>
      <left/>
      <top/>
      <bottom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top/>
      <bottom/>
    </border>
    <border>
      <right/>
      <top/>
      <bottom/>
    </border>
    <border>
      <left style="thin">
        <color rgb="FFD1D5DB"/>
      </left>
      <top style="thin">
        <color rgb="FFD1D5DB"/>
      </top>
      <bottom style="thin">
        <color rgb="FFD1D5DB"/>
      </bottom>
    </border>
    <border>
      <top style="thin">
        <color rgb="FFD1D5DB"/>
      </top>
      <bottom style="thin">
        <color rgb="FFD1D5DB"/>
      </bottom>
    </border>
    <border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2" fillId="3" fontId="2" numFmtId="0" xfId="0" applyAlignment="1" applyBorder="1" applyFill="1" applyFont="1">
      <alignment shrinkToFit="0" vertical="top" wrapText="1"/>
    </xf>
    <xf borderId="3" fillId="0" fontId="3" numFmtId="0" xfId="0" applyBorder="1" applyFont="1"/>
    <xf borderId="4" fillId="0" fontId="3" numFmtId="0" xfId="0" applyBorder="1" applyFont="1"/>
    <xf borderId="2" fillId="4" fontId="2" numFmtId="0" xfId="0" applyAlignment="1" applyBorder="1" applyFill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2" fillId="3" fontId="2" numFmtId="0" xfId="0" applyAlignment="1" applyBorder="1" applyFont="1">
      <alignment readingOrder="0" shrinkToFit="0" vertical="top" wrapText="1"/>
    </xf>
    <xf borderId="2" fillId="0" fontId="4" numFmtId="0" xfId="0" applyAlignment="1" applyBorder="1" applyFont="1">
      <alignment shrinkToFit="0" vertical="top" wrapText="1"/>
    </xf>
    <xf borderId="2" fillId="0" fontId="4" numFmtId="0" xfId="0" applyAlignment="1" applyBorder="1" applyFont="1">
      <alignment readingOrder="0" shrinkToFit="0" vertical="top" wrapText="1"/>
    </xf>
    <xf borderId="2" fillId="0" fontId="4" numFmtId="3" xfId="0" applyAlignment="1" applyBorder="1" applyFont="1" applyNumberFormat="1">
      <alignment shrinkToFit="0" vertical="top" wrapText="1"/>
    </xf>
    <xf borderId="2" fillId="0" fontId="4" numFmtId="164" xfId="0" applyAlignment="1" applyBorder="1" applyFont="1" applyNumberFormat="1">
      <alignment shrinkToFit="0" vertical="top" wrapText="1"/>
    </xf>
    <xf borderId="0" fillId="0" fontId="5" numFmtId="0" xfId="0" applyAlignment="1" applyFont="1">
      <alignment readingOrder="0"/>
    </xf>
    <xf borderId="5" fillId="2" fontId="1" numFmtId="0" xfId="0" applyAlignment="1" applyBorder="1" applyFont="1">
      <alignment shrinkToFit="0" vertical="top" wrapText="1"/>
    </xf>
    <xf borderId="6" fillId="0" fontId="3" numFmtId="0" xfId="0" applyBorder="1" applyFont="1"/>
    <xf borderId="7" fillId="0" fontId="3" numFmtId="0" xfId="0" applyBorder="1" applyFont="1"/>
    <xf borderId="2" fillId="0" fontId="4" numFmtId="9" xfId="0" applyAlignment="1" applyBorder="1" applyFont="1" applyNumberFormat="1">
      <alignment shrinkToFit="0" vertical="top" wrapText="1"/>
    </xf>
    <xf borderId="2" fillId="3" fontId="2" numFmtId="0" xfId="0" applyAlignment="1" applyBorder="1" applyFont="1">
      <alignment horizontal="center" shrinkToFit="0" vertical="center" wrapText="1"/>
    </xf>
    <xf borderId="0" fillId="0" fontId="5" numFmtId="0" xfId="0" applyFont="1"/>
    <xf borderId="1" fillId="2" fontId="1" numFmtId="0" xfId="0" applyBorder="1" applyFont="1"/>
    <xf borderId="2" fillId="5" fontId="4" numFmtId="0" xfId="0" applyAlignment="1" applyBorder="1" applyFill="1" applyFont="1">
      <alignment shrinkToFit="0" vertical="top" wrapText="1"/>
    </xf>
    <xf borderId="2" fillId="5" fontId="4" numFmtId="164" xfId="0" applyAlignment="1" applyBorder="1" applyFont="1" applyNumberForma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คะแนนเฉลี่ยรายมิติ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คะแนนเฉลี่ย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'04_Dashboard'!$B$10:$B$17</c:f>
            </c:strRef>
          </c:cat>
          <c:val>
            <c:numRef>
              <c:f>'04_Dashboard'!$C$10:$C$17</c:f>
              <c:numCache/>
            </c:numRef>
          </c:val>
        </c:ser>
        <c:axId val="744535391"/>
        <c:axId val="1898422931"/>
      </c:barChart>
      <c:catAx>
        <c:axId val="7445353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8422931"/>
      </c:catAx>
      <c:valAx>
        <c:axId val="18984229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45353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8</xdr:row>
      <xdr:rowOff>0</xdr:rowOff>
    </xdr:from>
    <xdr:ext cx="5038725" cy="25146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60.57"/>
    <col customWidth="1" min="3" max="3" width="26.57"/>
    <col customWidth="1" min="4" max="26" width="8.86"/>
  </cols>
  <sheetData>
    <row r="1">
      <c r="A1" s="1" t="s">
        <v>0</v>
      </c>
      <c r="B1" s="3"/>
      <c r="C1" s="3"/>
      <c r="D1" s="3"/>
      <c r="E1" s="3"/>
      <c r="F1" s="3"/>
      <c r="G1" s="3"/>
      <c r="H1" s="4"/>
    </row>
    <row r="2">
      <c r="A2" s="2" t="s">
        <v>6</v>
      </c>
      <c r="B2" s="2" t="s">
        <v>8</v>
      </c>
      <c r="C2" s="2"/>
      <c r="D2" s="2"/>
      <c r="E2" s="2"/>
      <c r="F2" s="2"/>
      <c r="G2" s="2"/>
      <c r="H2" s="2"/>
    </row>
    <row r="3">
      <c r="A3" s="5" t="s">
        <v>19</v>
      </c>
      <c r="B3" s="5" t="s">
        <v>25</v>
      </c>
      <c r="C3" s="5"/>
      <c r="D3" s="5"/>
      <c r="E3" s="5"/>
      <c r="F3" s="5"/>
      <c r="G3" s="5"/>
      <c r="H3" s="5"/>
    </row>
    <row r="4">
      <c r="A4" s="5" t="s">
        <v>38</v>
      </c>
      <c r="B4" s="6" t="s">
        <v>41</v>
      </c>
      <c r="C4" s="6"/>
      <c r="D4" s="6"/>
      <c r="E4" s="6"/>
      <c r="F4" s="6"/>
      <c r="G4" s="6"/>
      <c r="H4" s="6"/>
    </row>
    <row r="5">
      <c r="A5" s="5" t="s">
        <v>49</v>
      </c>
      <c r="B5" s="6" t="s">
        <v>51</v>
      </c>
      <c r="C5" s="6"/>
      <c r="D5" s="6"/>
      <c r="E5" s="6"/>
      <c r="F5" s="6"/>
      <c r="G5" s="6"/>
      <c r="H5" s="6"/>
    </row>
    <row r="6">
      <c r="A6" s="5" t="s">
        <v>63</v>
      </c>
      <c r="B6" s="6" t="s">
        <v>66</v>
      </c>
      <c r="C6" s="6"/>
      <c r="D6" s="6"/>
      <c r="E6" s="6"/>
      <c r="F6" s="6"/>
      <c r="G6" s="6"/>
      <c r="H6" s="6"/>
    </row>
    <row r="7">
      <c r="A7" s="5" t="s">
        <v>72</v>
      </c>
      <c r="B7" s="6" t="s">
        <v>74</v>
      </c>
      <c r="C7" s="6"/>
      <c r="D7" s="6"/>
      <c r="E7" s="6"/>
      <c r="F7" s="6"/>
      <c r="G7" s="6"/>
      <c r="H7" s="6"/>
    </row>
    <row r="8">
      <c r="A8" s="6"/>
      <c r="B8" s="6"/>
      <c r="C8" s="6"/>
      <c r="D8" s="6"/>
      <c r="E8" s="6"/>
      <c r="F8" s="6"/>
      <c r="G8" s="6"/>
      <c r="H8" s="6"/>
    </row>
    <row r="9">
      <c r="A9" s="2" t="s">
        <v>79</v>
      </c>
      <c r="B9" s="2" t="s">
        <v>81</v>
      </c>
      <c r="C9" s="2" t="s">
        <v>82</v>
      </c>
      <c r="D9" s="2"/>
      <c r="E9" s="2"/>
      <c r="F9" s="2"/>
      <c r="G9" s="2"/>
      <c r="H9" s="2"/>
    </row>
    <row r="10">
      <c r="A10" s="6">
        <v>0.0</v>
      </c>
      <c r="B10" s="6" t="s">
        <v>89</v>
      </c>
      <c r="C10" s="6" t="s">
        <v>90</v>
      </c>
      <c r="D10" s="6"/>
      <c r="E10" s="6"/>
      <c r="F10" s="6"/>
      <c r="G10" s="6"/>
      <c r="H10" s="6"/>
    </row>
    <row r="11">
      <c r="A11" s="6">
        <v>1.0</v>
      </c>
      <c r="B11" s="6" t="s">
        <v>94</v>
      </c>
      <c r="C11" s="6" t="s">
        <v>95</v>
      </c>
      <c r="D11" s="6"/>
      <c r="E11" s="6"/>
      <c r="F11" s="6"/>
      <c r="G11" s="6"/>
      <c r="H11" s="6"/>
    </row>
    <row r="12">
      <c r="A12" s="6">
        <v>2.0</v>
      </c>
      <c r="B12" s="6" t="s">
        <v>98</v>
      </c>
      <c r="C12" s="6" t="s">
        <v>99</v>
      </c>
      <c r="D12" s="6"/>
      <c r="E12" s="6"/>
      <c r="F12" s="6"/>
      <c r="G12" s="6"/>
      <c r="H12" s="6"/>
    </row>
    <row r="13">
      <c r="A13" s="6">
        <v>3.0</v>
      </c>
      <c r="B13" s="6" t="s">
        <v>105</v>
      </c>
      <c r="C13" s="6" t="s">
        <v>107</v>
      </c>
      <c r="D13" s="6"/>
      <c r="E13" s="6"/>
      <c r="F13" s="6"/>
      <c r="G13" s="6"/>
      <c r="H13" s="6"/>
    </row>
    <row r="14">
      <c r="A14" s="6">
        <v>4.0</v>
      </c>
      <c r="B14" s="6" t="s">
        <v>110</v>
      </c>
      <c r="C14" s="6" t="s">
        <v>112</v>
      </c>
      <c r="D14" s="6"/>
      <c r="E14" s="6"/>
      <c r="F14" s="6"/>
      <c r="G14" s="6"/>
      <c r="H14" s="6"/>
    </row>
    <row r="15">
      <c r="A15" s="6"/>
      <c r="B15" s="6"/>
      <c r="C15" s="6"/>
      <c r="D15" s="6"/>
      <c r="E15" s="6"/>
      <c r="F15" s="6"/>
      <c r="G15" s="6"/>
      <c r="H15" s="6"/>
    </row>
    <row r="16">
      <c r="A16" s="2" t="s">
        <v>119</v>
      </c>
      <c r="B16" s="2" t="s">
        <v>120</v>
      </c>
      <c r="C16" s="2"/>
      <c r="D16" s="2"/>
      <c r="E16" s="2"/>
      <c r="F16" s="2"/>
      <c r="G16" s="2"/>
      <c r="H16" s="2"/>
    </row>
    <row r="17">
      <c r="A17" s="6" t="s">
        <v>126</v>
      </c>
      <c r="B17" s="6" t="s">
        <v>127</v>
      </c>
      <c r="C17" s="6"/>
      <c r="D17" s="6"/>
      <c r="E17" s="6"/>
      <c r="F17" s="6"/>
      <c r="G17" s="6"/>
      <c r="H17" s="6"/>
    </row>
    <row r="18">
      <c r="A18" s="6" t="s">
        <v>130</v>
      </c>
      <c r="B18" s="6" t="s">
        <v>131</v>
      </c>
      <c r="C18" s="6"/>
      <c r="D18" s="6"/>
      <c r="E18" s="6"/>
      <c r="F18" s="6"/>
      <c r="G18" s="6"/>
      <c r="H18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7" width="18.0"/>
    <col customWidth="1" min="18" max="21" width="36.0"/>
    <col customWidth="1" min="22" max="24" width="18.0"/>
    <col customWidth="1" min="25" max="25" width="36.0"/>
    <col customWidth="1" min="26" max="28" width="8.86"/>
  </cols>
  <sheetData>
    <row r="1">
      <c r="A1" s="2" t="s">
        <v>1</v>
      </c>
      <c r="B1" s="2" t="s">
        <v>2</v>
      </c>
      <c r="C1" s="2" t="s">
        <v>3</v>
      </c>
      <c r="D1" s="2" t="s">
        <v>11</v>
      </c>
      <c r="E1" s="2" t="s">
        <v>14</v>
      </c>
      <c r="F1" s="2" t="s">
        <v>15</v>
      </c>
      <c r="G1" s="2" t="s">
        <v>18</v>
      </c>
      <c r="H1" s="2" t="s">
        <v>20</v>
      </c>
      <c r="I1" s="2" t="s">
        <v>22</v>
      </c>
      <c r="J1" s="2" t="s">
        <v>23</v>
      </c>
      <c r="K1" s="2" t="s">
        <v>26</v>
      </c>
      <c r="L1" s="2" t="s">
        <v>28</v>
      </c>
      <c r="M1" s="2" t="s">
        <v>31</v>
      </c>
      <c r="N1" s="2" t="s">
        <v>32</v>
      </c>
      <c r="O1" s="2" t="s">
        <v>34</v>
      </c>
      <c r="P1" s="2" t="s">
        <v>36</v>
      </c>
      <c r="Q1" s="2" t="s">
        <v>39</v>
      </c>
      <c r="R1" s="2" t="s">
        <v>42</v>
      </c>
      <c r="S1" s="7" t="s">
        <v>44</v>
      </c>
      <c r="T1" s="7" t="s">
        <v>50</v>
      </c>
      <c r="U1" s="2" t="s">
        <v>54</v>
      </c>
      <c r="V1" s="2" t="s">
        <v>56</v>
      </c>
      <c r="W1" s="2" t="s">
        <v>7</v>
      </c>
      <c r="X1" s="2" t="s">
        <v>60</v>
      </c>
      <c r="Y1" s="2" t="s">
        <v>64</v>
      </c>
    </row>
    <row r="2" ht="17.25" customHeight="1">
      <c r="A2" s="8" t="s">
        <v>68</v>
      </c>
      <c r="B2" s="9" t="s">
        <v>71</v>
      </c>
      <c r="C2" s="8"/>
      <c r="D2" s="8"/>
      <c r="E2" s="8"/>
      <c r="F2" s="8"/>
      <c r="G2" s="8"/>
      <c r="H2" s="8"/>
      <c r="I2" s="10"/>
      <c r="J2" s="10"/>
      <c r="K2" s="8"/>
      <c r="L2" s="8"/>
      <c r="M2" s="8"/>
      <c r="N2" s="10"/>
      <c r="O2" s="10"/>
      <c r="P2" s="10"/>
      <c r="Q2" s="10"/>
      <c r="R2" s="9" t="s">
        <v>100</v>
      </c>
      <c r="S2" s="9" t="s">
        <v>102</v>
      </c>
      <c r="T2" s="9" t="s">
        <v>104</v>
      </c>
      <c r="U2" s="9" t="s">
        <v>108</v>
      </c>
      <c r="V2" s="9" t="s">
        <v>114</v>
      </c>
      <c r="W2" s="8"/>
      <c r="X2" s="8"/>
      <c r="Y2" s="8"/>
    </row>
    <row r="3">
      <c r="A3" s="8" t="s">
        <v>118</v>
      </c>
      <c r="B3" s="9" t="s">
        <v>121</v>
      </c>
      <c r="C3" s="8"/>
      <c r="D3" s="8"/>
      <c r="E3" s="8"/>
      <c r="F3" s="8"/>
      <c r="G3" s="8"/>
      <c r="H3" s="8"/>
      <c r="I3" s="10"/>
      <c r="J3" s="10"/>
      <c r="K3" s="8"/>
      <c r="L3" s="8"/>
      <c r="M3" s="8"/>
      <c r="N3" s="10"/>
      <c r="O3" s="10"/>
      <c r="P3" s="10"/>
      <c r="Q3" s="10"/>
      <c r="R3" s="9"/>
      <c r="S3" s="8"/>
      <c r="T3" s="8"/>
      <c r="U3" s="8"/>
      <c r="V3" s="8" t="s">
        <v>114</v>
      </c>
      <c r="W3" s="8"/>
      <c r="X3" s="8"/>
      <c r="Y3" s="8"/>
    </row>
    <row r="4" ht="17.25" customHeight="1">
      <c r="A4" s="8" t="s">
        <v>133</v>
      </c>
      <c r="B4" s="9" t="s">
        <v>134</v>
      </c>
      <c r="C4" s="8"/>
      <c r="D4" s="8"/>
      <c r="E4" s="8"/>
      <c r="F4" s="8"/>
      <c r="G4" s="8"/>
      <c r="H4" s="8"/>
      <c r="I4" s="10"/>
      <c r="J4" s="10"/>
      <c r="K4" s="8"/>
      <c r="L4" s="8"/>
      <c r="M4" s="8"/>
      <c r="N4" s="10"/>
      <c r="O4" s="10"/>
      <c r="P4" s="10"/>
      <c r="Q4" s="10"/>
      <c r="R4" s="9" t="s">
        <v>136</v>
      </c>
      <c r="S4" s="9" t="s">
        <v>137</v>
      </c>
      <c r="T4" s="8"/>
      <c r="U4" s="9" t="s">
        <v>138</v>
      </c>
      <c r="V4" s="8" t="s">
        <v>114</v>
      </c>
      <c r="W4" s="8"/>
      <c r="X4" s="8"/>
      <c r="Y4" s="8"/>
    </row>
    <row r="5">
      <c r="A5" s="8" t="s">
        <v>139</v>
      </c>
      <c r="B5" s="9" t="s">
        <v>140</v>
      </c>
      <c r="C5" s="8"/>
      <c r="D5" s="8"/>
      <c r="E5" s="8"/>
      <c r="F5" s="8"/>
      <c r="G5" s="8"/>
      <c r="H5" s="8"/>
      <c r="I5" s="10"/>
      <c r="J5" s="10"/>
      <c r="K5" s="8"/>
      <c r="L5" s="8"/>
      <c r="M5" s="8"/>
      <c r="N5" s="10"/>
      <c r="O5" s="10"/>
      <c r="P5" s="10"/>
      <c r="Q5" s="10"/>
      <c r="R5" s="9"/>
      <c r="S5" s="8"/>
      <c r="T5" s="8"/>
      <c r="U5" s="8"/>
      <c r="V5" s="8" t="s">
        <v>114</v>
      </c>
      <c r="W5" s="8"/>
      <c r="X5" s="8"/>
      <c r="Y5" s="8"/>
    </row>
    <row r="6" ht="30.0" customHeight="1">
      <c r="A6" s="8" t="s">
        <v>141</v>
      </c>
      <c r="B6" s="9" t="s">
        <v>142</v>
      </c>
      <c r="C6" s="8"/>
      <c r="D6" s="8"/>
      <c r="E6" s="8"/>
      <c r="F6" s="8"/>
      <c r="G6" s="8"/>
      <c r="H6" s="8"/>
      <c r="I6" s="10"/>
      <c r="J6" s="10"/>
      <c r="K6" s="8"/>
      <c r="L6" s="8"/>
      <c r="M6" s="8"/>
      <c r="N6" s="10"/>
      <c r="O6" s="10"/>
      <c r="P6" s="10"/>
      <c r="Q6" s="10"/>
      <c r="R6" s="9" t="s">
        <v>143</v>
      </c>
      <c r="S6" s="9" t="s">
        <v>144</v>
      </c>
      <c r="T6" s="9" t="s">
        <v>145</v>
      </c>
      <c r="U6" s="9" t="s">
        <v>146</v>
      </c>
      <c r="V6" s="8" t="s">
        <v>114</v>
      </c>
      <c r="W6" s="8"/>
      <c r="X6" s="8"/>
      <c r="Y6" s="8"/>
    </row>
    <row r="7" ht="31.5" customHeight="1">
      <c r="A7" s="8" t="s">
        <v>147</v>
      </c>
      <c r="B7" s="9" t="s">
        <v>148</v>
      </c>
      <c r="C7" s="8"/>
      <c r="D7" s="8"/>
      <c r="E7" s="8"/>
      <c r="F7" s="8"/>
      <c r="G7" s="8"/>
      <c r="H7" s="8"/>
      <c r="I7" s="10"/>
      <c r="J7" s="10"/>
      <c r="K7" s="8"/>
      <c r="L7" s="8"/>
      <c r="M7" s="8"/>
      <c r="N7" s="10"/>
      <c r="O7" s="10"/>
      <c r="P7" s="10"/>
      <c r="Q7" s="10"/>
      <c r="R7" s="9" t="s">
        <v>149</v>
      </c>
      <c r="S7" s="9" t="s">
        <v>150</v>
      </c>
      <c r="T7" s="9" t="s">
        <v>151</v>
      </c>
      <c r="U7" s="9" t="s">
        <v>152</v>
      </c>
      <c r="V7" s="8" t="s">
        <v>114</v>
      </c>
      <c r="W7" s="8"/>
      <c r="X7" s="8"/>
      <c r="Y7" s="8"/>
    </row>
    <row r="8" ht="19.5" customHeight="1">
      <c r="A8" s="8" t="s">
        <v>153</v>
      </c>
      <c r="B8" s="9" t="s">
        <v>154</v>
      </c>
      <c r="C8" s="8"/>
      <c r="D8" s="8"/>
      <c r="E8" s="8"/>
      <c r="F8" s="8"/>
      <c r="G8" s="8"/>
      <c r="H8" s="8"/>
      <c r="I8" s="10"/>
      <c r="J8" s="10"/>
      <c r="K8" s="8"/>
      <c r="L8" s="8"/>
      <c r="M8" s="8"/>
      <c r="N8" s="10"/>
      <c r="O8" s="10"/>
      <c r="P8" s="10"/>
      <c r="Q8" s="10"/>
      <c r="R8" s="9" t="s">
        <v>155</v>
      </c>
      <c r="S8" s="9" t="s">
        <v>156</v>
      </c>
      <c r="T8" s="9" t="s">
        <v>157</v>
      </c>
      <c r="U8" s="9" t="s">
        <v>158</v>
      </c>
      <c r="V8" s="8" t="s">
        <v>114</v>
      </c>
      <c r="W8" s="8"/>
      <c r="X8" s="8"/>
      <c r="Y8" s="8"/>
    </row>
    <row r="9">
      <c r="A9" s="8" t="s">
        <v>159</v>
      </c>
      <c r="B9" s="9" t="s">
        <v>160</v>
      </c>
      <c r="C9" s="8"/>
      <c r="D9" s="8"/>
      <c r="E9" s="8"/>
      <c r="F9" s="8"/>
      <c r="G9" s="8"/>
      <c r="H9" s="8"/>
      <c r="I9" s="10"/>
      <c r="J9" s="10"/>
      <c r="K9" s="8"/>
      <c r="L9" s="8"/>
      <c r="M9" s="8"/>
      <c r="N9" s="10"/>
      <c r="O9" s="10"/>
      <c r="P9" s="10"/>
      <c r="Q9" s="10"/>
      <c r="R9" s="8"/>
      <c r="S9" s="8"/>
      <c r="T9" s="8"/>
      <c r="U9" s="8"/>
      <c r="V9" s="8" t="s">
        <v>114</v>
      </c>
      <c r="W9" s="8"/>
      <c r="X9" s="8"/>
      <c r="Y9" s="8"/>
    </row>
    <row r="10">
      <c r="A10" s="8" t="s">
        <v>161</v>
      </c>
      <c r="B10" s="9" t="s">
        <v>162</v>
      </c>
      <c r="C10" s="8"/>
      <c r="D10" s="8"/>
      <c r="E10" s="8"/>
      <c r="F10" s="8"/>
      <c r="G10" s="8"/>
      <c r="H10" s="8"/>
      <c r="I10" s="10"/>
      <c r="J10" s="10"/>
      <c r="K10" s="8"/>
      <c r="L10" s="8"/>
      <c r="M10" s="8"/>
      <c r="N10" s="10"/>
      <c r="O10" s="10"/>
      <c r="P10" s="10"/>
      <c r="Q10" s="10"/>
      <c r="R10" s="8"/>
      <c r="S10" s="8"/>
      <c r="T10" s="8"/>
      <c r="U10" s="8"/>
      <c r="V10" s="8" t="s">
        <v>114</v>
      </c>
      <c r="W10" s="8"/>
      <c r="X10" s="8"/>
      <c r="Y10" s="8"/>
    </row>
    <row r="11">
      <c r="A11" s="8" t="s">
        <v>163</v>
      </c>
      <c r="B11" s="9" t="s">
        <v>164</v>
      </c>
      <c r="C11" s="8"/>
      <c r="D11" s="8"/>
      <c r="E11" s="8"/>
      <c r="F11" s="8"/>
      <c r="G11" s="8"/>
      <c r="H11" s="8"/>
      <c r="I11" s="10"/>
      <c r="J11" s="10"/>
      <c r="K11" s="8"/>
      <c r="L11" s="8"/>
      <c r="M11" s="8"/>
      <c r="N11" s="10"/>
      <c r="O11" s="10"/>
      <c r="P11" s="10"/>
      <c r="Q11" s="10"/>
      <c r="R11" s="8"/>
      <c r="S11" s="8"/>
      <c r="T11" s="8"/>
      <c r="U11" s="8"/>
      <c r="V11" s="8" t="s">
        <v>114</v>
      </c>
      <c r="W11" s="8"/>
      <c r="X11" s="8"/>
      <c r="Y11" s="8"/>
    </row>
    <row r="12" ht="28.5" customHeight="1">
      <c r="A12" s="8" t="s">
        <v>165</v>
      </c>
      <c r="B12" s="9" t="s">
        <v>166</v>
      </c>
      <c r="C12" s="8"/>
      <c r="D12" s="8"/>
      <c r="E12" s="8"/>
      <c r="F12" s="8"/>
      <c r="G12" s="8"/>
      <c r="H12" s="8"/>
      <c r="I12" s="10"/>
      <c r="J12" s="10"/>
      <c r="K12" s="8"/>
      <c r="L12" s="8"/>
      <c r="M12" s="8"/>
      <c r="N12" s="10"/>
      <c r="O12" s="10"/>
      <c r="P12" s="10"/>
      <c r="Q12" s="10"/>
      <c r="R12" s="8"/>
      <c r="S12" s="9" t="s">
        <v>167</v>
      </c>
      <c r="T12" s="8"/>
      <c r="U12" s="9" t="s">
        <v>168</v>
      </c>
      <c r="V12" s="8" t="s">
        <v>114</v>
      </c>
      <c r="W12" s="8"/>
      <c r="X12" s="8"/>
      <c r="Y12" s="8"/>
    </row>
    <row r="13" ht="30.0" customHeight="1">
      <c r="A13" s="8" t="s">
        <v>169</v>
      </c>
      <c r="B13" s="9" t="s">
        <v>170</v>
      </c>
      <c r="C13" s="8"/>
      <c r="D13" s="8"/>
      <c r="E13" s="8"/>
      <c r="F13" s="8"/>
      <c r="G13" s="8"/>
      <c r="H13" s="8"/>
      <c r="I13" s="10"/>
      <c r="J13" s="10"/>
      <c r="K13" s="8"/>
      <c r="L13" s="8"/>
      <c r="M13" s="8"/>
      <c r="N13" s="10"/>
      <c r="O13" s="10"/>
      <c r="P13" s="10"/>
      <c r="Q13" s="10"/>
      <c r="R13" s="9" t="s">
        <v>171</v>
      </c>
      <c r="S13" s="9" t="s">
        <v>172</v>
      </c>
      <c r="T13" s="8"/>
      <c r="U13" s="9" t="s">
        <v>173</v>
      </c>
      <c r="V13" s="8" t="s">
        <v>114</v>
      </c>
      <c r="W13" s="8"/>
      <c r="X13" s="8"/>
      <c r="Y13" s="8"/>
    </row>
    <row r="14">
      <c r="A14" s="8" t="s">
        <v>174</v>
      </c>
      <c r="B14" s="9" t="s">
        <v>175</v>
      </c>
      <c r="C14" s="8"/>
      <c r="D14" s="8"/>
      <c r="E14" s="8"/>
      <c r="F14" s="8"/>
      <c r="G14" s="8"/>
      <c r="H14" s="8"/>
      <c r="I14" s="10"/>
      <c r="J14" s="10"/>
      <c r="K14" s="8"/>
      <c r="L14" s="8"/>
      <c r="M14" s="8"/>
      <c r="N14" s="10"/>
      <c r="O14" s="10"/>
      <c r="P14" s="10"/>
      <c r="Q14" s="10"/>
      <c r="R14" s="8"/>
      <c r="S14" s="8"/>
      <c r="T14" s="8"/>
      <c r="U14" s="8"/>
      <c r="V14" s="8" t="s">
        <v>114</v>
      </c>
      <c r="W14" s="8"/>
      <c r="X14" s="8"/>
      <c r="Y14" s="8"/>
    </row>
    <row r="15" ht="15.75" customHeight="1">
      <c r="A15" s="8" t="s">
        <v>176</v>
      </c>
      <c r="B15" s="9" t="s">
        <v>177</v>
      </c>
      <c r="C15" s="8"/>
      <c r="D15" s="8"/>
      <c r="E15" s="8"/>
      <c r="F15" s="8"/>
      <c r="G15" s="8"/>
      <c r="H15" s="8"/>
      <c r="I15" s="10"/>
      <c r="J15" s="10"/>
      <c r="K15" s="8"/>
      <c r="L15" s="8"/>
      <c r="M15" s="8"/>
      <c r="N15" s="10"/>
      <c r="O15" s="10"/>
      <c r="P15" s="10"/>
      <c r="Q15" s="10"/>
      <c r="R15" s="9" t="s">
        <v>178</v>
      </c>
      <c r="S15" s="9" t="s">
        <v>179</v>
      </c>
      <c r="T15" s="9" t="s">
        <v>180</v>
      </c>
      <c r="U15" s="9" t="s">
        <v>181</v>
      </c>
      <c r="V15" s="8" t="s">
        <v>114</v>
      </c>
      <c r="W15" s="8"/>
      <c r="X15" s="8"/>
      <c r="Y15" s="8"/>
    </row>
    <row r="16">
      <c r="A16" s="8" t="s">
        <v>182</v>
      </c>
      <c r="B16" s="9" t="s">
        <v>183</v>
      </c>
      <c r="C16" s="8"/>
      <c r="D16" s="8"/>
      <c r="E16" s="8"/>
      <c r="F16" s="8"/>
      <c r="G16" s="8"/>
      <c r="H16" s="8"/>
      <c r="I16" s="10"/>
      <c r="J16" s="10"/>
      <c r="K16" s="8"/>
      <c r="L16" s="8"/>
      <c r="M16" s="8"/>
      <c r="N16" s="10"/>
      <c r="O16" s="10"/>
      <c r="P16" s="10"/>
      <c r="Q16" s="10"/>
      <c r="R16" s="8"/>
      <c r="S16" s="8"/>
      <c r="T16" s="8"/>
      <c r="U16" s="8"/>
      <c r="V16" s="8" t="s">
        <v>114</v>
      </c>
      <c r="W16" s="8"/>
      <c r="X16" s="8"/>
      <c r="Y16" s="8"/>
    </row>
    <row r="17">
      <c r="A17" s="8" t="s">
        <v>184</v>
      </c>
      <c r="B17" s="9" t="s">
        <v>185</v>
      </c>
      <c r="C17" s="8"/>
      <c r="D17" s="8"/>
      <c r="E17" s="8"/>
      <c r="F17" s="8"/>
      <c r="G17" s="8"/>
      <c r="H17" s="8"/>
      <c r="I17" s="10"/>
      <c r="J17" s="10"/>
      <c r="K17" s="8"/>
      <c r="L17" s="8"/>
      <c r="M17" s="8"/>
      <c r="N17" s="10"/>
      <c r="O17" s="10"/>
      <c r="P17" s="10"/>
      <c r="Q17" s="10"/>
      <c r="R17" s="8"/>
      <c r="S17" s="8"/>
      <c r="T17" s="8"/>
      <c r="U17" s="8"/>
      <c r="V17" s="8" t="s">
        <v>114</v>
      </c>
      <c r="W17" s="8"/>
      <c r="X17" s="8"/>
      <c r="Y17" s="8"/>
    </row>
    <row r="18">
      <c r="A18" s="8" t="s">
        <v>190</v>
      </c>
      <c r="B18" s="9" t="s">
        <v>192</v>
      </c>
      <c r="C18" s="8"/>
      <c r="D18" s="8"/>
      <c r="E18" s="8"/>
      <c r="F18" s="8"/>
      <c r="G18" s="8"/>
      <c r="H18" s="8"/>
      <c r="I18" s="10"/>
      <c r="J18" s="10"/>
      <c r="K18" s="8"/>
      <c r="L18" s="8"/>
      <c r="M18" s="8"/>
      <c r="N18" s="10"/>
      <c r="O18" s="10"/>
      <c r="P18" s="10"/>
      <c r="Q18" s="10"/>
      <c r="R18" s="8"/>
      <c r="S18" s="8"/>
      <c r="T18" s="8"/>
      <c r="U18" s="8"/>
      <c r="V18" s="8" t="s">
        <v>114</v>
      </c>
      <c r="W18" s="8"/>
      <c r="X18" s="8"/>
      <c r="Y18" s="8"/>
    </row>
    <row r="19" ht="16.5" customHeight="1">
      <c r="A19" s="8" t="s">
        <v>196</v>
      </c>
      <c r="B19" s="9" t="s">
        <v>197</v>
      </c>
      <c r="C19" s="8"/>
      <c r="D19" s="8"/>
      <c r="E19" s="8"/>
      <c r="F19" s="8"/>
      <c r="G19" s="8"/>
      <c r="H19" s="8"/>
      <c r="I19" s="10"/>
      <c r="J19" s="10"/>
      <c r="K19" s="8"/>
      <c r="L19" s="8"/>
      <c r="M19" s="8"/>
      <c r="N19" s="10"/>
      <c r="O19" s="10"/>
      <c r="P19" s="10"/>
      <c r="Q19" s="10"/>
      <c r="R19" s="9" t="s">
        <v>199</v>
      </c>
      <c r="S19" s="9" t="s">
        <v>200</v>
      </c>
      <c r="T19" s="9" t="s">
        <v>201</v>
      </c>
      <c r="U19" s="9" t="s">
        <v>203</v>
      </c>
      <c r="V19" s="8" t="s">
        <v>114</v>
      </c>
      <c r="W19" s="8"/>
      <c r="X19" s="8"/>
      <c r="Y19" s="8"/>
    </row>
    <row r="20" ht="30.0" customHeight="1">
      <c r="A20" s="8" t="s">
        <v>204</v>
      </c>
      <c r="B20" s="9" t="s">
        <v>206</v>
      </c>
      <c r="C20" s="8"/>
      <c r="D20" s="8"/>
      <c r="E20" s="8"/>
      <c r="F20" s="8"/>
      <c r="G20" s="8"/>
      <c r="H20" s="8"/>
      <c r="I20" s="10"/>
      <c r="J20" s="10"/>
      <c r="K20" s="8"/>
      <c r="L20" s="8"/>
      <c r="M20" s="8"/>
      <c r="N20" s="10"/>
      <c r="O20" s="10"/>
      <c r="P20" s="10"/>
      <c r="Q20" s="10"/>
      <c r="R20" s="9" t="s">
        <v>209</v>
      </c>
      <c r="S20" s="9" t="s">
        <v>210</v>
      </c>
      <c r="T20" s="8"/>
      <c r="U20" s="9" t="s">
        <v>211</v>
      </c>
      <c r="V20" s="8" t="s">
        <v>114</v>
      </c>
      <c r="W20" s="8"/>
      <c r="X20" s="8"/>
      <c r="Y20" s="8"/>
    </row>
    <row r="21" ht="30.75" customHeight="1">
      <c r="A21" s="8" t="s">
        <v>213</v>
      </c>
      <c r="B21" s="9" t="s">
        <v>214</v>
      </c>
      <c r="C21" s="8"/>
      <c r="D21" s="8"/>
      <c r="E21" s="8"/>
      <c r="F21" s="8"/>
      <c r="G21" s="8"/>
      <c r="H21" s="8"/>
      <c r="I21" s="10"/>
      <c r="J21" s="10"/>
      <c r="K21" s="8"/>
      <c r="L21" s="8"/>
      <c r="M21" s="8"/>
      <c r="N21" s="10"/>
      <c r="O21" s="10"/>
      <c r="P21" s="10"/>
      <c r="Q21" s="10"/>
      <c r="R21" s="9" t="s">
        <v>220</v>
      </c>
      <c r="S21" s="9" t="s">
        <v>221</v>
      </c>
      <c r="T21" s="8"/>
      <c r="U21" s="9" t="s">
        <v>223</v>
      </c>
      <c r="V21" s="8" t="s">
        <v>114</v>
      </c>
      <c r="W21" s="8"/>
      <c r="X21" s="8"/>
      <c r="Y21" s="8"/>
    </row>
    <row r="22" ht="15.75" customHeight="1">
      <c r="A22" s="8" t="s">
        <v>224</v>
      </c>
      <c r="B22" s="9" t="s">
        <v>225</v>
      </c>
      <c r="C22" s="8"/>
      <c r="D22" s="8"/>
      <c r="E22" s="8"/>
      <c r="F22" s="8"/>
      <c r="G22" s="8"/>
      <c r="H22" s="8"/>
      <c r="I22" s="10"/>
      <c r="J22" s="10"/>
      <c r="K22" s="8"/>
      <c r="L22" s="8"/>
      <c r="M22" s="8"/>
      <c r="N22" s="10"/>
      <c r="O22" s="10"/>
      <c r="P22" s="10"/>
      <c r="Q22" s="10"/>
      <c r="R22" s="8"/>
      <c r="S22" s="8"/>
      <c r="T22" s="8"/>
      <c r="U22" s="8"/>
      <c r="V22" s="8" t="s">
        <v>114</v>
      </c>
      <c r="W22" s="8"/>
      <c r="X22" s="8"/>
      <c r="Y22" s="8"/>
    </row>
    <row r="23" ht="16.5" customHeight="1">
      <c r="A23" s="8" t="s">
        <v>229</v>
      </c>
      <c r="B23" s="9" t="s">
        <v>230</v>
      </c>
      <c r="C23" s="8"/>
      <c r="D23" s="8"/>
      <c r="E23" s="8"/>
      <c r="F23" s="8"/>
      <c r="G23" s="8"/>
      <c r="H23" s="8"/>
      <c r="I23" s="10"/>
      <c r="J23" s="10"/>
      <c r="K23" s="8"/>
      <c r="L23" s="8"/>
      <c r="M23" s="8"/>
      <c r="N23" s="10"/>
      <c r="O23" s="10"/>
      <c r="P23" s="10"/>
      <c r="Q23" s="10"/>
      <c r="R23" s="9" t="s">
        <v>233</v>
      </c>
      <c r="S23" s="9" t="s">
        <v>234</v>
      </c>
      <c r="T23" s="8"/>
      <c r="U23" s="9" t="s">
        <v>235</v>
      </c>
      <c r="V23" s="8" t="s">
        <v>114</v>
      </c>
      <c r="W23" s="8"/>
      <c r="X23" s="8"/>
      <c r="Y23" s="8"/>
    </row>
    <row r="24" ht="17.25" customHeight="1">
      <c r="A24" s="8" t="s">
        <v>236</v>
      </c>
      <c r="B24" s="9" t="s">
        <v>237</v>
      </c>
      <c r="C24" s="8"/>
      <c r="D24" s="8"/>
      <c r="E24" s="8"/>
      <c r="F24" s="8"/>
      <c r="G24" s="8"/>
      <c r="H24" s="8"/>
      <c r="I24" s="10"/>
      <c r="J24" s="10"/>
      <c r="K24" s="8"/>
      <c r="L24" s="8"/>
      <c r="M24" s="8"/>
      <c r="N24" s="10"/>
      <c r="O24" s="10"/>
      <c r="P24" s="10"/>
      <c r="Q24" s="10"/>
      <c r="R24" s="9" t="s">
        <v>239</v>
      </c>
      <c r="S24" s="9" t="s">
        <v>240</v>
      </c>
      <c r="T24" s="9" t="s">
        <v>241</v>
      </c>
      <c r="U24" s="9" t="s">
        <v>242</v>
      </c>
      <c r="V24" s="8" t="s">
        <v>114</v>
      </c>
      <c r="W24" s="8"/>
      <c r="X24" s="8"/>
      <c r="Y24" s="8"/>
    </row>
    <row r="25" ht="17.25" customHeight="1">
      <c r="A25" s="8" t="s">
        <v>243</v>
      </c>
      <c r="B25" s="9" t="s">
        <v>245</v>
      </c>
      <c r="C25" s="8"/>
      <c r="D25" s="8"/>
      <c r="E25" s="8"/>
      <c r="F25" s="8"/>
      <c r="G25" s="8"/>
      <c r="H25" s="8"/>
      <c r="I25" s="10"/>
      <c r="J25" s="10"/>
      <c r="K25" s="8"/>
      <c r="L25" s="8"/>
      <c r="M25" s="8"/>
      <c r="N25" s="10"/>
      <c r="O25" s="10"/>
      <c r="P25" s="10"/>
      <c r="Q25" s="10"/>
      <c r="R25" s="9" t="s">
        <v>246</v>
      </c>
      <c r="S25" s="9" t="s">
        <v>247</v>
      </c>
      <c r="T25" s="8"/>
      <c r="U25" s="9" t="s">
        <v>248</v>
      </c>
      <c r="V25" s="8" t="s">
        <v>114</v>
      </c>
      <c r="W25" s="8"/>
      <c r="X25" s="8"/>
      <c r="Y25" s="8"/>
    </row>
    <row r="26" ht="15.75" customHeight="1">
      <c r="A26" s="8" t="s">
        <v>250</v>
      </c>
      <c r="B26" s="9" t="s">
        <v>251</v>
      </c>
      <c r="C26" s="8"/>
      <c r="D26" s="8"/>
      <c r="E26" s="8"/>
      <c r="F26" s="8"/>
      <c r="G26" s="8"/>
      <c r="H26" s="8"/>
      <c r="I26" s="10"/>
      <c r="J26" s="10"/>
      <c r="K26" s="8"/>
      <c r="L26" s="8"/>
      <c r="M26" s="8"/>
      <c r="N26" s="10"/>
      <c r="O26" s="10"/>
      <c r="P26" s="10"/>
      <c r="Q26" s="10"/>
      <c r="R26" s="8"/>
      <c r="S26" s="8"/>
      <c r="T26" s="8"/>
      <c r="U26" s="8"/>
      <c r="V26" s="8" t="s">
        <v>114</v>
      </c>
      <c r="W26" s="8"/>
      <c r="X26" s="8"/>
      <c r="Y26" s="8"/>
    </row>
    <row r="27" ht="15.75" customHeight="1">
      <c r="A27" s="8" t="s">
        <v>252</v>
      </c>
      <c r="B27" s="9" t="s">
        <v>253</v>
      </c>
      <c r="C27" s="8"/>
      <c r="D27" s="8"/>
      <c r="E27" s="8"/>
      <c r="F27" s="8"/>
      <c r="G27" s="8"/>
      <c r="H27" s="8"/>
      <c r="I27" s="10"/>
      <c r="J27" s="10"/>
      <c r="K27" s="8"/>
      <c r="L27" s="8"/>
      <c r="M27" s="8"/>
      <c r="N27" s="10"/>
      <c r="O27" s="10"/>
      <c r="P27" s="10"/>
      <c r="Q27" s="10"/>
      <c r="R27" s="8"/>
      <c r="S27" s="8"/>
      <c r="T27" s="8"/>
      <c r="U27" s="8"/>
      <c r="V27" s="8" t="s">
        <v>114</v>
      </c>
      <c r="W27" s="8"/>
      <c r="X27" s="8"/>
      <c r="Y27" s="8"/>
    </row>
    <row r="28" ht="15.75" customHeight="1">
      <c r="A28" s="8" t="s">
        <v>254</v>
      </c>
      <c r="B28" s="9" t="s">
        <v>255</v>
      </c>
      <c r="C28" s="8"/>
      <c r="D28" s="8"/>
      <c r="E28" s="8"/>
      <c r="F28" s="8"/>
      <c r="G28" s="8"/>
      <c r="H28" s="8"/>
      <c r="I28" s="10"/>
      <c r="J28" s="10"/>
      <c r="K28" s="8"/>
      <c r="L28" s="8"/>
      <c r="M28" s="8"/>
      <c r="N28" s="10"/>
      <c r="O28" s="10"/>
      <c r="P28" s="10"/>
      <c r="Q28" s="10"/>
      <c r="R28" s="8"/>
      <c r="S28" s="8"/>
      <c r="T28" s="8"/>
      <c r="U28" s="8"/>
      <c r="V28" s="8" t="s">
        <v>114</v>
      </c>
      <c r="W28" s="8"/>
      <c r="X28" s="8"/>
      <c r="Y28" s="8"/>
    </row>
    <row r="29" ht="15.75" customHeight="1">
      <c r="A29" s="8" t="s">
        <v>256</v>
      </c>
      <c r="B29" s="9" t="s">
        <v>257</v>
      </c>
      <c r="C29" s="8"/>
      <c r="D29" s="8"/>
      <c r="E29" s="8"/>
      <c r="F29" s="8"/>
      <c r="G29" s="8"/>
      <c r="H29" s="8"/>
      <c r="I29" s="10"/>
      <c r="J29" s="10"/>
      <c r="K29" s="8"/>
      <c r="L29" s="8"/>
      <c r="M29" s="8"/>
      <c r="N29" s="10"/>
      <c r="O29" s="10"/>
      <c r="P29" s="10"/>
      <c r="Q29" s="10"/>
      <c r="R29" s="8"/>
      <c r="S29" s="8"/>
      <c r="T29" s="8"/>
      <c r="U29" s="8"/>
      <c r="V29" s="8" t="s">
        <v>114</v>
      </c>
      <c r="W29" s="8"/>
      <c r="X29" s="8"/>
      <c r="Y29" s="8"/>
    </row>
    <row r="30" ht="15.75" customHeight="1">
      <c r="A30" s="8" t="s">
        <v>258</v>
      </c>
      <c r="B30" s="9" t="s">
        <v>259</v>
      </c>
      <c r="C30" s="8"/>
      <c r="D30" s="8"/>
      <c r="E30" s="8"/>
      <c r="F30" s="8"/>
      <c r="G30" s="8"/>
      <c r="H30" s="8"/>
      <c r="I30" s="10"/>
      <c r="J30" s="10"/>
      <c r="K30" s="8"/>
      <c r="L30" s="8"/>
      <c r="M30" s="8"/>
      <c r="N30" s="10"/>
      <c r="O30" s="10"/>
      <c r="P30" s="10"/>
      <c r="Q30" s="10"/>
      <c r="R30" s="8"/>
      <c r="S30" s="8"/>
      <c r="T30" s="8"/>
      <c r="U30" s="8"/>
      <c r="V30" s="8" t="s">
        <v>114</v>
      </c>
      <c r="W30" s="8"/>
      <c r="X30" s="8"/>
      <c r="Y30" s="8"/>
    </row>
    <row r="31" ht="15.75" customHeight="1">
      <c r="A31" s="8" t="s">
        <v>260</v>
      </c>
      <c r="B31" s="9" t="s">
        <v>261</v>
      </c>
      <c r="C31" s="8"/>
      <c r="D31" s="8"/>
      <c r="E31" s="8"/>
      <c r="F31" s="8"/>
      <c r="G31" s="8"/>
      <c r="H31" s="8"/>
      <c r="I31" s="10"/>
      <c r="J31" s="10"/>
      <c r="K31" s="8"/>
      <c r="L31" s="8"/>
      <c r="M31" s="8"/>
      <c r="N31" s="10"/>
      <c r="O31" s="10"/>
      <c r="P31" s="10"/>
      <c r="Q31" s="10"/>
      <c r="R31" s="8"/>
      <c r="S31" s="8"/>
      <c r="T31" s="8"/>
      <c r="U31" s="8"/>
      <c r="V31" s="8" t="s">
        <v>114</v>
      </c>
      <c r="W31" s="8"/>
      <c r="X31" s="8"/>
      <c r="Y31" s="8"/>
    </row>
    <row r="32" ht="30.75" customHeight="1">
      <c r="A32" s="8" t="s">
        <v>262</v>
      </c>
      <c r="B32" s="9" t="s">
        <v>263</v>
      </c>
      <c r="C32" s="8"/>
      <c r="D32" s="8"/>
      <c r="E32" s="8"/>
      <c r="F32" s="8"/>
      <c r="G32" s="8"/>
      <c r="H32" s="8"/>
      <c r="I32" s="10"/>
      <c r="J32" s="10"/>
      <c r="K32" s="8"/>
      <c r="L32" s="8"/>
      <c r="M32" s="8"/>
      <c r="N32" s="10"/>
      <c r="O32" s="10"/>
      <c r="P32" s="10"/>
      <c r="Q32" s="10"/>
      <c r="R32" s="9" t="s">
        <v>264</v>
      </c>
      <c r="S32" s="8"/>
      <c r="T32" s="8"/>
      <c r="U32" s="8"/>
      <c r="V32" s="8" t="s">
        <v>114</v>
      </c>
      <c r="W32" s="8"/>
      <c r="X32" s="8"/>
      <c r="Y32" s="8"/>
    </row>
    <row r="33" ht="18.75" customHeight="1">
      <c r="A33" s="8" t="s">
        <v>265</v>
      </c>
      <c r="B33" s="9" t="s">
        <v>266</v>
      </c>
      <c r="C33" s="8"/>
      <c r="D33" s="8"/>
      <c r="E33" s="8"/>
      <c r="F33" s="8"/>
      <c r="G33" s="8"/>
      <c r="H33" s="8"/>
      <c r="I33" s="10"/>
      <c r="J33" s="10"/>
      <c r="K33" s="8"/>
      <c r="L33" s="8"/>
      <c r="M33" s="8"/>
      <c r="N33" s="10"/>
      <c r="O33" s="10"/>
      <c r="P33" s="10"/>
      <c r="Q33" s="10"/>
      <c r="R33" s="9" t="s">
        <v>267</v>
      </c>
      <c r="S33" s="9" t="s">
        <v>268</v>
      </c>
      <c r="T33" s="8"/>
      <c r="U33" s="9" t="s">
        <v>269</v>
      </c>
      <c r="V33" s="8" t="s">
        <v>114</v>
      </c>
      <c r="W33" s="8"/>
      <c r="X33" s="8"/>
      <c r="Y33" s="8"/>
    </row>
    <row r="34" ht="17.25" customHeight="1">
      <c r="A34" s="8" t="s">
        <v>270</v>
      </c>
      <c r="B34" s="9" t="s">
        <v>271</v>
      </c>
      <c r="C34" s="8"/>
      <c r="D34" s="8"/>
      <c r="E34" s="8"/>
      <c r="F34" s="8"/>
      <c r="G34" s="8"/>
      <c r="H34" s="8"/>
      <c r="I34" s="10"/>
      <c r="J34" s="10"/>
      <c r="K34" s="8"/>
      <c r="L34" s="8"/>
      <c r="M34" s="8"/>
      <c r="N34" s="10"/>
      <c r="O34" s="10"/>
      <c r="P34" s="10"/>
      <c r="Q34" s="10"/>
      <c r="R34" s="9" t="s">
        <v>272</v>
      </c>
      <c r="S34" s="9" t="s">
        <v>273</v>
      </c>
      <c r="T34" s="9" t="s">
        <v>274</v>
      </c>
      <c r="U34" s="9" t="s">
        <v>275</v>
      </c>
      <c r="V34" s="8" t="s">
        <v>114</v>
      </c>
      <c r="W34" s="8"/>
      <c r="X34" s="8"/>
      <c r="Y34" s="8"/>
    </row>
    <row r="35" ht="15.75" customHeight="1">
      <c r="A35" s="8" t="s">
        <v>276</v>
      </c>
      <c r="B35" s="9" t="s">
        <v>277</v>
      </c>
      <c r="C35" s="8"/>
      <c r="D35" s="8"/>
      <c r="E35" s="8"/>
      <c r="F35" s="8"/>
      <c r="G35" s="8"/>
      <c r="H35" s="8"/>
      <c r="I35" s="10"/>
      <c r="J35" s="10"/>
      <c r="K35" s="8"/>
      <c r="L35" s="8"/>
      <c r="M35" s="8"/>
      <c r="N35" s="10"/>
      <c r="O35" s="10"/>
      <c r="P35" s="10"/>
      <c r="Q35" s="10"/>
      <c r="R35" s="8"/>
      <c r="S35" s="8"/>
      <c r="T35" s="8"/>
      <c r="U35" s="8"/>
      <c r="V35" s="8" t="s">
        <v>114</v>
      </c>
      <c r="W35" s="8"/>
      <c r="X35" s="8"/>
      <c r="Y35" s="8"/>
    </row>
    <row r="36" ht="31.5" customHeight="1">
      <c r="A36" s="8" t="s">
        <v>278</v>
      </c>
      <c r="B36" s="9" t="s">
        <v>279</v>
      </c>
      <c r="C36" s="8"/>
      <c r="D36" s="8"/>
      <c r="E36" s="8"/>
      <c r="F36" s="8"/>
      <c r="G36" s="8"/>
      <c r="H36" s="8"/>
      <c r="I36" s="10"/>
      <c r="J36" s="10"/>
      <c r="K36" s="8"/>
      <c r="L36" s="8"/>
      <c r="M36" s="8"/>
      <c r="N36" s="10"/>
      <c r="O36" s="10"/>
      <c r="P36" s="10"/>
      <c r="Q36" s="10"/>
      <c r="R36" s="9" t="s">
        <v>280</v>
      </c>
      <c r="S36" s="9" t="s">
        <v>281</v>
      </c>
      <c r="T36" s="9" t="s">
        <v>282</v>
      </c>
      <c r="U36" s="9" t="s">
        <v>283</v>
      </c>
      <c r="V36" s="8" t="s">
        <v>114</v>
      </c>
      <c r="W36" s="8"/>
      <c r="X36" s="8"/>
      <c r="Y36" s="8"/>
    </row>
    <row r="37" ht="15.75" customHeight="1">
      <c r="A37" s="8" t="s">
        <v>284</v>
      </c>
      <c r="B37" s="9" t="s">
        <v>285</v>
      </c>
      <c r="C37" s="8"/>
      <c r="D37" s="8"/>
      <c r="E37" s="8"/>
      <c r="F37" s="8"/>
      <c r="G37" s="8"/>
      <c r="H37" s="8"/>
      <c r="I37" s="10"/>
      <c r="J37" s="10"/>
      <c r="K37" s="8"/>
      <c r="L37" s="8"/>
      <c r="M37" s="8"/>
      <c r="N37" s="10"/>
      <c r="O37" s="10"/>
      <c r="P37" s="10"/>
      <c r="Q37" s="10"/>
      <c r="R37" s="8"/>
      <c r="S37" s="8"/>
      <c r="T37" s="8"/>
      <c r="U37" s="8"/>
      <c r="V37" s="8" t="s">
        <v>114</v>
      </c>
      <c r="W37" s="8"/>
      <c r="X37" s="8"/>
      <c r="Y37" s="8"/>
    </row>
    <row r="38" ht="18.75" customHeight="1">
      <c r="A38" s="8" t="s">
        <v>286</v>
      </c>
      <c r="B38" s="9" t="s">
        <v>287</v>
      </c>
      <c r="C38" s="8"/>
      <c r="D38" s="8"/>
      <c r="E38" s="8"/>
      <c r="F38" s="8"/>
      <c r="G38" s="8"/>
      <c r="H38" s="8"/>
      <c r="I38" s="10"/>
      <c r="J38" s="10"/>
      <c r="K38" s="8"/>
      <c r="L38" s="8"/>
      <c r="M38" s="8"/>
      <c r="N38" s="10"/>
      <c r="O38" s="10"/>
      <c r="P38" s="10"/>
      <c r="Q38" s="10"/>
      <c r="R38" s="9" t="s">
        <v>288</v>
      </c>
      <c r="S38" s="9" t="s">
        <v>289</v>
      </c>
      <c r="T38" s="8"/>
      <c r="U38" s="9" t="s">
        <v>290</v>
      </c>
      <c r="V38" s="8" t="s">
        <v>114</v>
      </c>
      <c r="W38" s="8"/>
      <c r="X38" s="8"/>
      <c r="Y38" s="8"/>
    </row>
    <row r="39" ht="17.25" customHeight="1">
      <c r="A39" s="8" t="s">
        <v>291</v>
      </c>
      <c r="B39" s="9" t="s">
        <v>292</v>
      </c>
      <c r="C39" s="8"/>
      <c r="D39" s="8"/>
      <c r="E39" s="8"/>
      <c r="F39" s="8"/>
      <c r="G39" s="8"/>
      <c r="H39" s="8"/>
      <c r="I39" s="10"/>
      <c r="J39" s="10"/>
      <c r="K39" s="8"/>
      <c r="L39" s="8"/>
      <c r="M39" s="8"/>
      <c r="N39" s="10"/>
      <c r="O39" s="10"/>
      <c r="P39" s="10"/>
      <c r="Q39" s="10"/>
      <c r="R39" s="9" t="s">
        <v>293</v>
      </c>
      <c r="S39" s="9" t="s">
        <v>294</v>
      </c>
      <c r="T39" s="8"/>
      <c r="U39" s="9" t="s">
        <v>295</v>
      </c>
      <c r="V39" s="8" t="s">
        <v>114</v>
      </c>
      <c r="W39" s="8"/>
      <c r="X39" s="8"/>
      <c r="Y39" s="8"/>
    </row>
    <row r="40" ht="15.75" customHeight="1">
      <c r="A40" s="8" t="s">
        <v>296</v>
      </c>
      <c r="B40" s="9" t="s">
        <v>297</v>
      </c>
      <c r="C40" s="8"/>
      <c r="D40" s="8"/>
      <c r="E40" s="8"/>
      <c r="F40" s="8"/>
      <c r="G40" s="8"/>
      <c r="H40" s="8"/>
      <c r="I40" s="10"/>
      <c r="J40" s="10"/>
      <c r="K40" s="8"/>
      <c r="L40" s="8"/>
      <c r="M40" s="8"/>
      <c r="N40" s="10"/>
      <c r="O40" s="10"/>
      <c r="P40" s="10"/>
      <c r="Q40" s="10"/>
      <c r="R40" s="8"/>
      <c r="S40" s="8"/>
      <c r="T40" s="8"/>
      <c r="U40" s="8"/>
      <c r="V40" s="8" t="s">
        <v>114</v>
      </c>
      <c r="W40" s="8"/>
      <c r="X40" s="8"/>
      <c r="Y40" s="8"/>
    </row>
    <row r="41" ht="31.5" customHeight="1">
      <c r="A41" s="8" t="s">
        <v>298</v>
      </c>
      <c r="B41" s="9" t="s">
        <v>299</v>
      </c>
      <c r="C41" s="8"/>
      <c r="D41" s="8"/>
      <c r="E41" s="8"/>
      <c r="F41" s="8"/>
      <c r="G41" s="8"/>
      <c r="H41" s="8"/>
      <c r="I41" s="10"/>
      <c r="J41" s="10"/>
      <c r="K41" s="8"/>
      <c r="L41" s="8"/>
      <c r="M41" s="8"/>
      <c r="N41" s="10"/>
      <c r="O41" s="10"/>
      <c r="P41" s="10"/>
      <c r="Q41" s="10"/>
      <c r="R41" s="9" t="s">
        <v>300</v>
      </c>
      <c r="S41" s="9" t="s">
        <v>301</v>
      </c>
      <c r="T41" s="9" t="s">
        <v>302</v>
      </c>
      <c r="U41" s="9" t="s">
        <v>303</v>
      </c>
      <c r="V41" s="8" t="s">
        <v>114</v>
      </c>
      <c r="W41" s="8"/>
      <c r="X41" s="8"/>
      <c r="Y41" s="8"/>
    </row>
    <row r="42" ht="19.5" customHeight="1">
      <c r="A42" s="8" t="s">
        <v>304</v>
      </c>
      <c r="B42" s="9" t="s">
        <v>305</v>
      </c>
      <c r="C42" s="8"/>
      <c r="D42" s="8"/>
      <c r="E42" s="8"/>
      <c r="F42" s="8"/>
      <c r="G42" s="8"/>
      <c r="H42" s="8"/>
      <c r="I42" s="10"/>
      <c r="J42" s="10"/>
      <c r="K42" s="8"/>
      <c r="L42" s="8"/>
      <c r="M42" s="8"/>
      <c r="N42" s="10"/>
      <c r="O42" s="10"/>
      <c r="P42" s="10"/>
      <c r="Q42" s="10"/>
      <c r="R42" s="9" t="s">
        <v>306</v>
      </c>
      <c r="S42" s="9" t="s">
        <v>307</v>
      </c>
      <c r="T42" s="9" t="s">
        <v>308</v>
      </c>
      <c r="U42" s="9" t="s">
        <v>309</v>
      </c>
      <c r="V42" s="8" t="s">
        <v>114</v>
      </c>
      <c r="W42" s="8"/>
      <c r="X42" s="8"/>
      <c r="Y42" s="8"/>
    </row>
    <row r="43" ht="16.5" customHeight="1">
      <c r="A43" s="8" t="s">
        <v>310</v>
      </c>
      <c r="B43" s="9" t="s">
        <v>311</v>
      </c>
      <c r="C43" s="8"/>
      <c r="D43" s="8"/>
      <c r="E43" s="8"/>
      <c r="F43" s="8"/>
      <c r="G43" s="8"/>
      <c r="H43" s="8"/>
      <c r="I43" s="10"/>
      <c r="J43" s="10"/>
      <c r="K43" s="8"/>
      <c r="L43" s="8"/>
      <c r="M43" s="8"/>
      <c r="N43" s="10"/>
      <c r="O43" s="10"/>
      <c r="P43" s="10"/>
      <c r="Q43" s="10"/>
      <c r="R43" s="9" t="s">
        <v>312</v>
      </c>
      <c r="S43" s="9" t="s">
        <v>313</v>
      </c>
      <c r="T43" s="8"/>
      <c r="U43" s="9" t="s">
        <v>314</v>
      </c>
      <c r="V43" s="8" t="s">
        <v>114</v>
      </c>
      <c r="W43" s="8"/>
      <c r="X43" s="8"/>
      <c r="Y43" s="8"/>
    </row>
    <row r="44" ht="15.75" customHeight="1">
      <c r="A44" s="8" t="s">
        <v>315</v>
      </c>
      <c r="B44" s="8" t="s">
        <v>316</v>
      </c>
      <c r="C44" s="8"/>
      <c r="D44" s="8"/>
      <c r="E44" s="8"/>
      <c r="F44" s="8"/>
      <c r="G44" s="8"/>
      <c r="H44" s="8"/>
      <c r="I44" s="10"/>
      <c r="J44" s="10"/>
      <c r="K44" s="8"/>
      <c r="L44" s="8"/>
      <c r="M44" s="8"/>
      <c r="N44" s="10"/>
      <c r="O44" s="10"/>
      <c r="P44" s="10"/>
      <c r="Q44" s="10"/>
      <c r="R44" s="8"/>
      <c r="S44" s="8"/>
      <c r="T44" s="8"/>
      <c r="U44" s="8"/>
      <c r="V44" s="8" t="s">
        <v>114</v>
      </c>
      <c r="W44" s="8"/>
      <c r="X44" s="8"/>
      <c r="Y44" s="8"/>
    </row>
    <row r="45" ht="15.75" customHeight="1">
      <c r="A45" s="8" t="s">
        <v>317</v>
      </c>
      <c r="B45" s="8" t="s">
        <v>318</v>
      </c>
      <c r="C45" s="8"/>
      <c r="D45" s="8"/>
      <c r="E45" s="8"/>
      <c r="F45" s="8"/>
      <c r="G45" s="8"/>
      <c r="H45" s="8"/>
      <c r="I45" s="10"/>
      <c r="J45" s="10"/>
      <c r="K45" s="8"/>
      <c r="L45" s="8"/>
      <c r="M45" s="8"/>
      <c r="N45" s="10"/>
      <c r="O45" s="10"/>
      <c r="P45" s="10"/>
      <c r="Q45" s="10"/>
      <c r="R45" s="8"/>
      <c r="S45" s="8"/>
      <c r="T45" s="8"/>
      <c r="U45" s="8"/>
      <c r="V45" s="8" t="s">
        <v>114</v>
      </c>
      <c r="W45" s="8"/>
      <c r="X45" s="8"/>
      <c r="Y45" s="8"/>
    </row>
    <row r="46" ht="15.75" customHeight="1">
      <c r="A46" s="8" t="s">
        <v>319</v>
      </c>
      <c r="B46" s="8" t="s">
        <v>320</v>
      </c>
      <c r="C46" s="8"/>
      <c r="D46" s="8"/>
      <c r="E46" s="8"/>
      <c r="F46" s="8"/>
      <c r="G46" s="8"/>
      <c r="H46" s="8"/>
      <c r="I46" s="10"/>
      <c r="J46" s="10"/>
      <c r="K46" s="8"/>
      <c r="L46" s="8"/>
      <c r="M46" s="8"/>
      <c r="N46" s="10"/>
      <c r="O46" s="10"/>
      <c r="P46" s="10"/>
      <c r="Q46" s="10"/>
      <c r="R46" s="8"/>
      <c r="S46" s="8"/>
      <c r="T46" s="8"/>
      <c r="U46" s="8"/>
      <c r="V46" s="8" t="s">
        <v>114</v>
      </c>
      <c r="W46" s="8"/>
      <c r="X46" s="8"/>
      <c r="Y46" s="8"/>
    </row>
    <row r="47" ht="15.75" customHeight="1">
      <c r="A47" s="8" t="s">
        <v>321</v>
      </c>
      <c r="B47" s="8" t="s">
        <v>322</v>
      </c>
      <c r="C47" s="8"/>
      <c r="D47" s="8"/>
      <c r="E47" s="8"/>
      <c r="F47" s="8"/>
      <c r="G47" s="8"/>
      <c r="H47" s="8"/>
      <c r="I47" s="10"/>
      <c r="J47" s="10"/>
      <c r="K47" s="8"/>
      <c r="L47" s="8"/>
      <c r="M47" s="8"/>
      <c r="N47" s="10"/>
      <c r="O47" s="10"/>
      <c r="P47" s="10"/>
      <c r="Q47" s="10"/>
      <c r="R47" s="8"/>
      <c r="S47" s="8"/>
      <c r="T47" s="8"/>
      <c r="U47" s="8"/>
      <c r="V47" s="8" t="s">
        <v>114</v>
      </c>
      <c r="W47" s="8"/>
      <c r="X47" s="8"/>
      <c r="Y47" s="8"/>
    </row>
    <row r="48" ht="15.75" customHeight="1">
      <c r="A48" s="8" t="s">
        <v>323</v>
      </c>
      <c r="B48" s="8" t="s">
        <v>324</v>
      </c>
      <c r="C48" s="8"/>
      <c r="D48" s="8"/>
      <c r="E48" s="8"/>
      <c r="F48" s="8"/>
      <c r="G48" s="8"/>
      <c r="H48" s="8"/>
      <c r="I48" s="10"/>
      <c r="J48" s="10"/>
      <c r="K48" s="8"/>
      <c r="L48" s="8"/>
      <c r="M48" s="8"/>
      <c r="N48" s="10"/>
      <c r="O48" s="10"/>
      <c r="P48" s="10"/>
      <c r="Q48" s="10"/>
      <c r="R48" s="8"/>
      <c r="S48" s="8"/>
      <c r="T48" s="8"/>
      <c r="U48" s="8"/>
      <c r="V48" s="8" t="s">
        <v>114</v>
      </c>
      <c r="W48" s="8"/>
      <c r="X48" s="8"/>
      <c r="Y48" s="8"/>
    </row>
    <row r="49" ht="15.75" customHeight="1">
      <c r="A49" s="8" t="s">
        <v>325</v>
      </c>
      <c r="B49" s="8" t="s">
        <v>326</v>
      </c>
      <c r="C49" s="8"/>
      <c r="D49" s="8"/>
      <c r="E49" s="8"/>
      <c r="F49" s="8"/>
      <c r="G49" s="8"/>
      <c r="H49" s="8"/>
      <c r="I49" s="10"/>
      <c r="J49" s="10"/>
      <c r="K49" s="8"/>
      <c r="L49" s="8"/>
      <c r="M49" s="8"/>
      <c r="N49" s="10"/>
      <c r="O49" s="10"/>
      <c r="P49" s="10"/>
      <c r="Q49" s="10"/>
      <c r="R49" s="8"/>
      <c r="S49" s="8"/>
      <c r="T49" s="8"/>
      <c r="U49" s="8"/>
      <c r="V49" s="8" t="s">
        <v>114</v>
      </c>
      <c r="W49" s="8"/>
      <c r="X49" s="8"/>
      <c r="Y49" s="8"/>
    </row>
    <row r="50" ht="15.75" customHeight="1">
      <c r="A50" s="8" t="s">
        <v>328</v>
      </c>
      <c r="B50" s="8" t="s">
        <v>329</v>
      </c>
      <c r="C50" s="8"/>
      <c r="D50" s="8"/>
      <c r="E50" s="8"/>
      <c r="F50" s="8"/>
      <c r="G50" s="8"/>
      <c r="H50" s="8"/>
      <c r="I50" s="10"/>
      <c r="J50" s="10"/>
      <c r="K50" s="8"/>
      <c r="L50" s="8"/>
      <c r="M50" s="8"/>
      <c r="N50" s="10"/>
      <c r="O50" s="10"/>
      <c r="P50" s="10"/>
      <c r="Q50" s="10"/>
      <c r="R50" s="8"/>
      <c r="S50" s="8"/>
      <c r="T50" s="8"/>
      <c r="U50" s="8"/>
      <c r="V50" s="8" t="s">
        <v>114</v>
      </c>
      <c r="W50" s="8"/>
      <c r="X50" s="8"/>
      <c r="Y50" s="8"/>
    </row>
    <row r="51" ht="15.75" customHeight="1">
      <c r="A51" s="8" t="s">
        <v>337</v>
      </c>
      <c r="B51" s="8" t="s">
        <v>338</v>
      </c>
      <c r="C51" s="8"/>
      <c r="D51" s="8"/>
      <c r="E51" s="8"/>
      <c r="F51" s="8"/>
      <c r="G51" s="8"/>
      <c r="H51" s="8"/>
      <c r="I51" s="10"/>
      <c r="J51" s="10"/>
      <c r="K51" s="8"/>
      <c r="L51" s="8"/>
      <c r="M51" s="8"/>
      <c r="N51" s="10"/>
      <c r="O51" s="10"/>
      <c r="P51" s="10"/>
      <c r="Q51" s="10"/>
      <c r="R51" s="8"/>
      <c r="S51" s="8"/>
      <c r="T51" s="8"/>
      <c r="U51" s="8"/>
      <c r="V51" s="8" t="s">
        <v>114</v>
      </c>
      <c r="W51" s="8"/>
      <c r="X51" s="8"/>
      <c r="Y51" s="8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V2:V51">
      <formula1>'06_Lists'!$B$2:$B$6</formula1>
    </dataValidation>
    <dataValidation type="list" allowBlank="1" sqref="E2:E51">
      <formula1>'06_Lists'!$C$2:$C$7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14.0"/>
    <col customWidth="1" min="2" max="2" width="22.0"/>
    <col customWidth="1" min="3" max="3" width="10.0"/>
    <col customWidth="1" min="4" max="4" width="14.0"/>
    <col customWidth="1" min="5" max="54" width="6.0"/>
    <col customWidth="1" min="55" max="70" width="16.0"/>
  </cols>
  <sheetData>
    <row r="1">
      <c r="A1" s="2" t="s">
        <v>1</v>
      </c>
      <c r="B1" s="2" t="s">
        <v>2</v>
      </c>
      <c r="C1" s="2" t="s">
        <v>4</v>
      </c>
      <c r="D1" s="2" t="s">
        <v>7</v>
      </c>
      <c r="E1" s="2" t="s">
        <v>12</v>
      </c>
      <c r="F1" s="2" t="s">
        <v>17</v>
      </c>
      <c r="G1" s="2" t="s">
        <v>21</v>
      </c>
      <c r="H1" s="2" t="s">
        <v>24</v>
      </c>
      <c r="I1" s="2" t="s">
        <v>29</v>
      </c>
      <c r="J1" s="2" t="s">
        <v>33</v>
      </c>
      <c r="K1" s="2" t="s">
        <v>37</v>
      </c>
      <c r="L1" s="2" t="s">
        <v>43</v>
      </c>
      <c r="M1" s="2" t="s">
        <v>46</v>
      </c>
      <c r="N1" s="2" t="s">
        <v>48</v>
      </c>
      <c r="O1" s="2" t="s">
        <v>53</v>
      </c>
      <c r="P1" s="2" t="s">
        <v>57</v>
      </c>
      <c r="Q1" s="2" t="s">
        <v>59</v>
      </c>
      <c r="R1" s="2" t="s">
        <v>61</v>
      </c>
      <c r="S1" s="2" t="s">
        <v>65</v>
      </c>
      <c r="T1" s="2" t="s">
        <v>69</v>
      </c>
      <c r="U1" s="2" t="s">
        <v>70</v>
      </c>
      <c r="V1" s="2" t="s">
        <v>73</v>
      </c>
      <c r="W1" s="2" t="s">
        <v>75</v>
      </c>
      <c r="X1" s="2" t="s">
        <v>76</v>
      </c>
      <c r="Y1" s="2" t="s">
        <v>77</v>
      </c>
      <c r="Z1" s="2" t="s">
        <v>78</v>
      </c>
      <c r="AA1" s="2" t="s">
        <v>80</v>
      </c>
      <c r="AB1" s="2" t="s">
        <v>83</v>
      </c>
      <c r="AC1" s="2" t="s">
        <v>84</v>
      </c>
      <c r="AD1" s="2" t="s">
        <v>85</v>
      </c>
      <c r="AE1" s="2" t="s">
        <v>86</v>
      </c>
      <c r="AF1" s="2" t="s">
        <v>87</v>
      </c>
      <c r="AG1" s="2" t="s">
        <v>88</v>
      </c>
      <c r="AH1" s="2" t="s">
        <v>91</v>
      </c>
      <c r="AI1" s="2" t="s">
        <v>92</v>
      </c>
      <c r="AJ1" s="2" t="s">
        <v>93</v>
      </c>
      <c r="AK1" s="2" t="s">
        <v>96</v>
      </c>
      <c r="AL1" s="2" t="s">
        <v>97</v>
      </c>
      <c r="AM1" s="2" t="s">
        <v>101</v>
      </c>
      <c r="AN1" s="2" t="s">
        <v>103</v>
      </c>
      <c r="AO1" s="2" t="s">
        <v>106</v>
      </c>
      <c r="AP1" s="2" t="s">
        <v>109</v>
      </c>
      <c r="AQ1" s="2" t="s">
        <v>111</v>
      </c>
      <c r="AR1" s="2" t="s">
        <v>113</v>
      </c>
      <c r="AS1" s="2" t="s">
        <v>115</v>
      </c>
      <c r="AT1" s="2" t="s">
        <v>116</v>
      </c>
      <c r="AU1" s="2" t="s">
        <v>117</v>
      </c>
      <c r="AV1" s="2" t="s">
        <v>122</v>
      </c>
      <c r="AW1" s="2" t="s">
        <v>123</v>
      </c>
      <c r="AX1" s="2" t="s">
        <v>124</v>
      </c>
      <c r="AY1" s="2" t="s">
        <v>125</v>
      </c>
      <c r="AZ1" s="2" t="s">
        <v>128</v>
      </c>
      <c r="BA1" s="2" t="s">
        <v>129</v>
      </c>
      <c r="BB1" s="2" t="s">
        <v>132</v>
      </c>
      <c r="BC1" s="2" t="s">
        <v>5</v>
      </c>
      <c r="BD1" s="2" t="s">
        <v>9</v>
      </c>
      <c r="BE1" s="2" t="s">
        <v>10</v>
      </c>
      <c r="BF1" s="2" t="s">
        <v>13</v>
      </c>
      <c r="BG1" s="2" t="s">
        <v>16</v>
      </c>
      <c r="BH1" s="2" t="s">
        <v>27</v>
      </c>
      <c r="BI1" s="2" t="s">
        <v>30</v>
      </c>
      <c r="BJ1" s="2" t="s">
        <v>35</v>
      </c>
      <c r="BK1" s="2" t="s">
        <v>40</v>
      </c>
      <c r="BL1" s="2" t="s">
        <v>45</v>
      </c>
      <c r="BM1" s="2" t="s">
        <v>47</v>
      </c>
      <c r="BN1" s="2" t="s">
        <v>52</v>
      </c>
      <c r="BO1" s="2" t="s">
        <v>55</v>
      </c>
      <c r="BP1" s="2" t="s">
        <v>58</v>
      </c>
      <c r="BQ1" s="2" t="s">
        <v>62</v>
      </c>
      <c r="BR1" s="2" t="s">
        <v>135</v>
      </c>
    </row>
    <row r="2">
      <c r="A2" s="8" t="s">
        <v>68</v>
      </c>
      <c r="B2" s="9" t="str">
        <f>'01_ข้อมูลร้าน'!B2</f>
        <v>Seed restaurant</v>
      </c>
      <c r="C2" s="8" t="s">
        <v>114</v>
      </c>
      <c r="D2" s="8"/>
      <c r="E2" s="12">
        <v>2.0</v>
      </c>
      <c r="F2" s="12">
        <v>0.0</v>
      </c>
      <c r="G2" s="12">
        <v>3.0</v>
      </c>
      <c r="H2" s="12">
        <v>0.0</v>
      </c>
      <c r="I2" s="12">
        <v>1.0</v>
      </c>
      <c r="J2" s="12">
        <v>2.0</v>
      </c>
      <c r="K2" s="12">
        <v>4.0</v>
      </c>
      <c r="L2" s="12">
        <v>1.0</v>
      </c>
      <c r="M2" s="12">
        <v>2.0</v>
      </c>
      <c r="N2" s="12">
        <v>0.0</v>
      </c>
      <c r="O2" s="12">
        <v>3.0</v>
      </c>
      <c r="P2" s="12">
        <v>4.0</v>
      </c>
      <c r="Q2" s="12">
        <v>0.0</v>
      </c>
      <c r="R2" s="12">
        <v>2.0</v>
      </c>
      <c r="S2" s="12">
        <v>4.0</v>
      </c>
      <c r="T2" s="12">
        <v>4.0</v>
      </c>
      <c r="U2" s="12">
        <v>3.0</v>
      </c>
      <c r="V2" s="12">
        <v>4.0</v>
      </c>
      <c r="W2" s="12">
        <v>4.0</v>
      </c>
      <c r="X2" s="12">
        <v>1.0</v>
      </c>
      <c r="Y2" s="12">
        <v>4.0</v>
      </c>
      <c r="Z2" s="12">
        <v>4.0</v>
      </c>
      <c r="AA2" s="12">
        <v>4.0</v>
      </c>
      <c r="AB2" s="12">
        <v>0.0</v>
      </c>
      <c r="AC2" s="12">
        <v>4.0</v>
      </c>
      <c r="AD2" s="12">
        <v>4.0</v>
      </c>
      <c r="AE2" s="12">
        <v>1.0</v>
      </c>
      <c r="AF2" s="12">
        <v>2.0</v>
      </c>
      <c r="AG2" s="12">
        <v>1.0</v>
      </c>
      <c r="AH2" s="12">
        <v>3.0</v>
      </c>
      <c r="AI2" s="12">
        <v>1.0</v>
      </c>
      <c r="AJ2" s="12">
        <v>2.0</v>
      </c>
      <c r="AK2" s="12">
        <v>2.0</v>
      </c>
      <c r="AL2" s="12">
        <v>2.0</v>
      </c>
      <c r="AM2" s="12">
        <v>0.0</v>
      </c>
      <c r="AN2" s="12">
        <v>4.0</v>
      </c>
      <c r="AO2" s="12">
        <v>2.0</v>
      </c>
      <c r="AP2" s="12">
        <v>0.0</v>
      </c>
      <c r="AQ2" s="12">
        <v>1.0</v>
      </c>
      <c r="AR2" s="12">
        <v>3.0</v>
      </c>
      <c r="AS2" s="12">
        <v>0.0</v>
      </c>
      <c r="AT2" s="12">
        <v>2.0</v>
      </c>
      <c r="AU2" s="12">
        <v>1.0</v>
      </c>
      <c r="AV2" s="12">
        <v>3.0</v>
      </c>
      <c r="AW2" s="12">
        <v>4.0</v>
      </c>
      <c r="AX2" s="12">
        <v>1.0</v>
      </c>
      <c r="AY2" s="12">
        <v>4.0</v>
      </c>
      <c r="AZ2" s="12">
        <v>4.0</v>
      </c>
      <c r="BA2" s="12">
        <v>3.0</v>
      </c>
      <c r="BB2" s="12">
        <v>3.0</v>
      </c>
      <c r="BC2" s="11">
        <f>COUNT(E34:BB34)/50</f>
        <v>1</v>
      </c>
      <c r="BD2" s="8">
        <f>SUM(E34:BB34)</f>
        <v>150</v>
      </c>
      <c r="BE2" s="11">
        <f t="shared" ref="BE2:BE51" si="1">BD2/200</f>
        <v>0.75</v>
      </c>
      <c r="BF2" s="11">
        <f>SUM(E34:K34)/(7*4)*0.12+SUM(L34:R34)/(7*4)*0.15+SUM(S34:X34)/(6*4)*0.1+SUM(Y34:AE34)/(7*4)*0.13+SUM(AF34:AL34)/(7*4)*0.2+SUM(AM34:AS34)/(7*4)*0.18+SUM(AT34:AX34)/(5*4)*0.05+SUM(AY34:BB34)/(4*4)*0.07</f>
        <v>0.7414583333</v>
      </c>
      <c r="BG2" s="8">
        <f>COUNTIFS(E34:BB34,"&gt;=0",E34:BB34,"&lt;=1")</f>
        <v>0</v>
      </c>
      <c r="BH2" s="8" t="str">
        <f t="shared" ref="BH2:BH51" si="2">IF(BC2=0,"ยังไม่ประเมิน",IF(BF2&gt;=0.8,"ดีมาก",IF(BF2&gt;=0.65,"ดี",IF(BF2&gt;=0.5,"ต้องพัฒนา","เร่งแก้ไข"))))</f>
        <v>ดี</v>
      </c>
      <c r="BI2" s="8" t="str">
        <f t="shared" ref="BI2:BI33" si="3">IF(BC2=0,"ยังไม่ประเมิน",INDEX($BJ$1:$BQ$1,1,MATCH(MIN(BJ2:BQ2),BJ2:BQ2,0)))</f>
        <v>มิติ 6</v>
      </c>
      <c r="BJ2" s="11">
        <f>SUM(E34:K34)/(7*4)</f>
        <v>0.6785714286</v>
      </c>
      <c r="BK2" s="11">
        <f>SUM(L34:R34)/(7*4)</f>
        <v>0.8571428571</v>
      </c>
      <c r="BL2" s="11">
        <f>SUM(S34:X34)/(6*4)</f>
        <v>0.8333333333</v>
      </c>
      <c r="BM2" s="11">
        <f>SUM(Y34:AE34)/(7*4)</f>
        <v>0.7142857143</v>
      </c>
      <c r="BN2" s="11">
        <f>SUM(AF34:AL34)/(7*4)</f>
        <v>0.7142857143</v>
      </c>
      <c r="BO2" s="11">
        <f>SUM(AM34:AS34)/(7*4)</f>
        <v>0.6071428571</v>
      </c>
      <c r="BP2" s="11">
        <f>SUM(AT34:AX34)/(5*4)</f>
        <v>0.75</v>
      </c>
      <c r="BQ2" s="11">
        <f>SUM(AY34:BB34)/(4*4)</f>
        <v>0.9375</v>
      </c>
      <c r="BR2" s="8"/>
    </row>
    <row r="3">
      <c r="A3" s="8" t="s">
        <v>118</v>
      </c>
      <c r="B3" s="8" t="str">
        <f>IFERROR(VLOOKUP(A3,'01_ข้อมูลร้าน'!$A$2:$B$51,2,FALSE),"")</f>
        <v>ก๋วยเตี๋ยวเรือคุณปุ๊ก</v>
      </c>
      <c r="C3" s="8" t="s">
        <v>114</v>
      </c>
      <c r="D3" s="8"/>
      <c r="E3" s="9">
        <v>4.0</v>
      </c>
      <c r="F3" s="9">
        <v>0.0</v>
      </c>
      <c r="G3" s="9">
        <v>4.0</v>
      </c>
      <c r="H3" s="9">
        <v>3.0</v>
      </c>
      <c r="I3" s="9">
        <v>4.0</v>
      </c>
      <c r="J3" s="9">
        <v>4.0</v>
      </c>
      <c r="K3" s="9">
        <v>4.0</v>
      </c>
      <c r="L3" s="9">
        <v>3.0</v>
      </c>
      <c r="M3" s="9">
        <v>0.0</v>
      </c>
      <c r="N3" s="9">
        <v>0.0</v>
      </c>
      <c r="O3" s="9">
        <v>0.0</v>
      </c>
      <c r="P3" s="9">
        <v>0.0</v>
      </c>
      <c r="Q3" s="9">
        <v>0.0</v>
      </c>
      <c r="R3" s="9">
        <v>4.0</v>
      </c>
      <c r="S3" s="9">
        <v>4.0</v>
      </c>
      <c r="T3" s="9">
        <v>3.0</v>
      </c>
      <c r="U3" s="9">
        <v>3.0</v>
      </c>
      <c r="V3" s="9">
        <v>1.0</v>
      </c>
      <c r="W3" s="9">
        <v>2.0</v>
      </c>
      <c r="X3" s="9">
        <v>2.0</v>
      </c>
      <c r="Y3" s="9">
        <v>1.0</v>
      </c>
      <c r="Z3" s="9">
        <v>3.0</v>
      </c>
      <c r="AA3" s="9">
        <v>3.0</v>
      </c>
      <c r="AB3" s="9">
        <v>1.0</v>
      </c>
      <c r="AC3" s="9">
        <v>2.0</v>
      </c>
      <c r="AD3" s="9">
        <v>4.0</v>
      </c>
      <c r="AE3" s="9">
        <v>1.0</v>
      </c>
      <c r="AF3" s="9">
        <v>2.0</v>
      </c>
      <c r="AG3" s="9">
        <v>3.0</v>
      </c>
      <c r="AH3" s="9">
        <v>3.0</v>
      </c>
      <c r="AI3" s="9">
        <v>2.0</v>
      </c>
      <c r="AJ3" s="9">
        <v>2.0</v>
      </c>
      <c r="AK3" s="9">
        <v>2.0</v>
      </c>
      <c r="AL3" s="9">
        <v>2.0</v>
      </c>
      <c r="AM3" s="9">
        <v>2.0</v>
      </c>
      <c r="AN3" s="9">
        <v>1.0</v>
      </c>
      <c r="AO3" s="9">
        <v>3.0</v>
      </c>
      <c r="AP3" s="9">
        <v>1.0</v>
      </c>
      <c r="AQ3" s="9">
        <v>0.0</v>
      </c>
      <c r="AR3" s="9">
        <v>4.0</v>
      </c>
      <c r="AS3" s="9">
        <v>4.0</v>
      </c>
      <c r="AT3" s="9">
        <v>3.0</v>
      </c>
      <c r="AU3" s="9">
        <v>1.0</v>
      </c>
      <c r="AV3" s="9">
        <v>3.0</v>
      </c>
      <c r="AW3" s="9">
        <v>1.0</v>
      </c>
      <c r="AX3" s="9">
        <v>0.0</v>
      </c>
      <c r="AY3" s="9">
        <v>3.0</v>
      </c>
      <c r="AZ3" s="9">
        <v>3.0</v>
      </c>
      <c r="BA3" s="9">
        <v>3.0</v>
      </c>
      <c r="BB3" s="9">
        <v>4.0</v>
      </c>
      <c r="BC3" s="11">
        <f t="shared" ref="BC3:BC33" si="4">COUNT(E3:BB3)/50</f>
        <v>1</v>
      </c>
      <c r="BD3" s="8">
        <f t="shared" ref="BD3:BD51" si="5">SUM(E3:BB3)</f>
        <v>112</v>
      </c>
      <c r="BE3" s="11">
        <f t="shared" si="1"/>
        <v>0.56</v>
      </c>
      <c r="BF3" s="11">
        <f t="shared" ref="BF3:BF51" si="6">SUM(E3:K3)/(7*4)*0.12+SUM(L3:R3)/(7*4)*0.15+SUM(S3:X3)/(6*4)*0.1+SUM(Y3:AE3)/(7*4)*0.13+SUM(AF3:AL3)/(7*4)*0.2+SUM(AM3:AS3)/(7*4)*0.18+SUM(AT3:AX3)/(5*4)*0.05+SUM(AY3:BB3)/(4*4)*0.07</f>
        <v>0.5558035714</v>
      </c>
      <c r="BG3" s="8">
        <f t="shared" ref="BG3:BG51" si="7">COUNTIFS(E3:BB3,"&gt;=0",E3:BB3,"&lt;=1")</f>
        <v>16</v>
      </c>
      <c r="BH3" s="8" t="str">
        <f t="shared" si="2"/>
        <v>ต้องพัฒนา</v>
      </c>
      <c r="BI3" s="8" t="str">
        <f t="shared" si="3"/>
        <v>มิติ 2</v>
      </c>
      <c r="BJ3" s="11">
        <f t="shared" ref="BJ3:BJ51" si="8">SUM(E3:K3)/(7*4)</f>
        <v>0.8214285714</v>
      </c>
      <c r="BK3" s="11">
        <f t="shared" ref="BK3:BK33" si="9">SUM(L3:R3)/(7*4)</f>
        <v>0.25</v>
      </c>
      <c r="BL3" s="11">
        <f t="shared" ref="BL3:BL33" si="10">SUM(S3:X3)/(6*4)</f>
        <v>0.625</v>
      </c>
      <c r="BM3" s="11">
        <f t="shared" ref="BM3:BM33" si="11">SUM(Y3:AE3)/(7*4)</f>
        <v>0.5357142857</v>
      </c>
      <c r="BN3" s="11">
        <f t="shared" ref="BN3:BN33" si="12">SUM(AF3:AL3)/(7*4)</f>
        <v>0.5714285714</v>
      </c>
      <c r="BO3" s="11">
        <f t="shared" ref="BO3:BO51" si="13">SUM(AM3:AS3)/(7*4)</f>
        <v>0.5357142857</v>
      </c>
      <c r="BP3" s="11">
        <f t="shared" ref="BP3:BP51" si="14">SUM(AT3:AX3)/(5*4)</f>
        <v>0.4</v>
      </c>
      <c r="BQ3" s="11">
        <f t="shared" ref="BQ3:BQ51" si="15">SUM(AY3:BB3)/(4*4)</f>
        <v>0.8125</v>
      </c>
      <c r="BR3" s="8"/>
    </row>
    <row r="4">
      <c r="A4" s="8" t="s">
        <v>133</v>
      </c>
      <c r="B4" s="8" t="str">
        <f>IFERROR(VLOOKUP(A4,'01_ข้อมูลร้าน'!$A$2:$B$51,2,FALSE),"")</f>
        <v>บ้าน-บ้าน สุขพอดี </v>
      </c>
      <c r="C4" s="8" t="s">
        <v>114</v>
      </c>
      <c r="D4" s="8"/>
      <c r="E4" s="9">
        <v>0.0</v>
      </c>
      <c r="F4" s="9">
        <v>0.0</v>
      </c>
      <c r="G4" s="9">
        <v>0.0</v>
      </c>
      <c r="H4" s="9">
        <v>0.0</v>
      </c>
      <c r="I4" s="9">
        <v>0.0</v>
      </c>
      <c r="J4" s="9">
        <v>3.0</v>
      </c>
      <c r="K4" s="9">
        <v>4.0</v>
      </c>
      <c r="L4" s="9">
        <v>0.0</v>
      </c>
      <c r="M4" s="9">
        <v>0.0</v>
      </c>
      <c r="N4" s="9">
        <v>0.0</v>
      </c>
      <c r="O4" s="9">
        <v>0.0</v>
      </c>
      <c r="P4" s="9">
        <v>0.0</v>
      </c>
      <c r="Q4" s="9">
        <v>0.0</v>
      </c>
      <c r="R4" s="9">
        <v>0.0</v>
      </c>
      <c r="S4" s="9">
        <v>1.0</v>
      </c>
      <c r="T4" s="9">
        <v>1.0</v>
      </c>
      <c r="U4" s="9">
        <v>2.0</v>
      </c>
      <c r="V4" s="9">
        <v>3.0</v>
      </c>
      <c r="W4" s="9">
        <v>3.0</v>
      </c>
      <c r="X4" s="9">
        <v>2.0</v>
      </c>
      <c r="Y4" s="9">
        <v>4.0</v>
      </c>
      <c r="Z4" s="9">
        <v>4.0</v>
      </c>
      <c r="AA4" s="9">
        <v>4.0</v>
      </c>
      <c r="AB4" s="9">
        <v>4.0</v>
      </c>
      <c r="AC4" s="9">
        <v>3.0</v>
      </c>
      <c r="AD4" s="9">
        <v>3.0</v>
      </c>
      <c r="AE4" s="9">
        <v>3.0</v>
      </c>
      <c r="AF4" s="9">
        <v>1.0</v>
      </c>
      <c r="AG4" s="9">
        <v>2.0</v>
      </c>
      <c r="AH4" s="9">
        <v>3.0</v>
      </c>
      <c r="AI4" s="9">
        <v>0.0</v>
      </c>
      <c r="AJ4" s="9">
        <v>0.0</v>
      </c>
      <c r="AK4" s="9">
        <v>1.0</v>
      </c>
      <c r="AL4" s="9">
        <v>2.0</v>
      </c>
      <c r="AM4" s="9">
        <v>0.0</v>
      </c>
      <c r="AN4" s="9">
        <v>0.0</v>
      </c>
      <c r="AO4" s="9">
        <v>0.0</v>
      </c>
      <c r="AP4" s="9">
        <v>2.0</v>
      </c>
      <c r="AQ4" s="9">
        <v>0.0</v>
      </c>
      <c r="AR4" s="9">
        <v>1.0</v>
      </c>
      <c r="AS4" s="9">
        <v>0.0</v>
      </c>
      <c r="AT4" s="9">
        <v>2.0</v>
      </c>
      <c r="AU4" s="9">
        <v>4.0</v>
      </c>
      <c r="AV4" s="9">
        <v>3.0</v>
      </c>
      <c r="AW4" s="9">
        <v>4.0</v>
      </c>
      <c r="AX4" s="9">
        <v>4.0</v>
      </c>
      <c r="AY4" s="9">
        <v>4.0</v>
      </c>
      <c r="AZ4" s="9">
        <v>4.0</v>
      </c>
      <c r="BA4" s="9">
        <v>3.0</v>
      </c>
      <c r="BB4" s="9">
        <v>4.0</v>
      </c>
      <c r="BC4" s="11">
        <f t="shared" si="4"/>
        <v>1</v>
      </c>
      <c r="BD4" s="8">
        <f t="shared" si="5"/>
        <v>88</v>
      </c>
      <c r="BE4" s="11">
        <f t="shared" si="1"/>
        <v>0.44</v>
      </c>
      <c r="BF4" s="11">
        <f t="shared" si="6"/>
        <v>0.3877678571</v>
      </c>
      <c r="BG4" s="8">
        <f t="shared" si="7"/>
        <v>24</v>
      </c>
      <c r="BH4" s="8" t="str">
        <f t="shared" si="2"/>
        <v>เร่งแก้ไข</v>
      </c>
      <c r="BI4" s="8" t="str">
        <f t="shared" si="3"/>
        <v>มิติ 2</v>
      </c>
      <c r="BJ4" s="11">
        <f t="shared" si="8"/>
        <v>0.25</v>
      </c>
      <c r="BK4" s="11">
        <f t="shared" si="9"/>
        <v>0</v>
      </c>
      <c r="BL4" s="11">
        <f t="shared" si="10"/>
        <v>0.5</v>
      </c>
      <c r="BM4" s="11">
        <f t="shared" si="11"/>
        <v>0.8928571429</v>
      </c>
      <c r="BN4" s="11">
        <f t="shared" si="12"/>
        <v>0.3214285714</v>
      </c>
      <c r="BO4" s="11">
        <f t="shared" si="13"/>
        <v>0.1071428571</v>
      </c>
      <c r="BP4" s="11">
        <f t="shared" si="14"/>
        <v>0.85</v>
      </c>
      <c r="BQ4" s="11">
        <f t="shared" si="15"/>
        <v>0.9375</v>
      </c>
      <c r="BR4" s="8"/>
    </row>
    <row r="5">
      <c r="A5" s="8" t="s">
        <v>139</v>
      </c>
      <c r="B5" s="8" t="str">
        <f>IFERROR(VLOOKUP(A5,'01_ข้อมูลร้าน'!$A$2:$B$51,2,FALSE),"")</f>
        <v> แฟรนไชส์ก๋วยเตี๋ยวปากหม้อแม่ว่าดี </v>
      </c>
      <c r="C5" s="8" t="s">
        <v>114</v>
      </c>
      <c r="D5" s="8"/>
      <c r="E5" s="9">
        <v>3.0</v>
      </c>
      <c r="F5" s="9">
        <v>4.0</v>
      </c>
      <c r="G5" s="9">
        <v>4.0</v>
      </c>
      <c r="H5" s="9">
        <v>4.0</v>
      </c>
      <c r="I5" s="9">
        <v>4.0</v>
      </c>
      <c r="J5" s="9">
        <v>3.0</v>
      </c>
      <c r="K5" s="9">
        <v>4.0</v>
      </c>
      <c r="L5" s="9">
        <v>2.0</v>
      </c>
      <c r="M5" s="9">
        <v>2.0</v>
      </c>
      <c r="N5" s="9">
        <v>4.0</v>
      </c>
      <c r="O5" s="9">
        <v>3.0</v>
      </c>
      <c r="P5" s="9">
        <v>2.0</v>
      </c>
      <c r="Q5" s="9">
        <v>2.0</v>
      </c>
      <c r="R5" s="9">
        <v>1.0</v>
      </c>
      <c r="S5" s="9">
        <v>3.0</v>
      </c>
      <c r="T5" s="9">
        <v>2.0</v>
      </c>
      <c r="U5" s="9">
        <v>4.0</v>
      </c>
      <c r="V5" s="9">
        <v>4.0</v>
      </c>
      <c r="W5" s="9">
        <v>3.0</v>
      </c>
      <c r="X5" s="9">
        <v>3.0</v>
      </c>
      <c r="Y5" s="9">
        <v>4.0</v>
      </c>
      <c r="Z5" s="9">
        <v>4.0</v>
      </c>
      <c r="AA5" s="9">
        <v>4.0</v>
      </c>
      <c r="AB5" s="9">
        <v>3.0</v>
      </c>
      <c r="AC5" s="9">
        <v>4.0</v>
      </c>
      <c r="AD5" s="9">
        <v>3.0</v>
      </c>
      <c r="AE5" s="9">
        <v>3.0</v>
      </c>
      <c r="AF5" s="9">
        <v>3.0</v>
      </c>
      <c r="AG5" s="9">
        <v>4.0</v>
      </c>
      <c r="AH5" s="9">
        <v>4.0</v>
      </c>
      <c r="AI5" s="9">
        <v>4.0</v>
      </c>
      <c r="AJ5" s="9">
        <v>3.0</v>
      </c>
      <c r="AK5" s="9">
        <v>3.0</v>
      </c>
      <c r="AL5" s="9">
        <v>3.0</v>
      </c>
      <c r="AM5" s="9">
        <v>1.0</v>
      </c>
      <c r="AN5" s="9">
        <v>2.0</v>
      </c>
      <c r="AO5" s="9">
        <v>4.0</v>
      </c>
      <c r="AP5" s="9">
        <v>1.0</v>
      </c>
      <c r="AQ5" s="9">
        <v>4.0</v>
      </c>
      <c r="AR5" s="9">
        <v>4.0</v>
      </c>
      <c r="AS5" s="9">
        <v>2.0</v>
      </c>
      <c r="AT5" s="9">
        <v>4.0</v>
      </c>
      <c r="AU5" s="9">
        <v>3.0</v>
      </c>
      <c r="AV5" s="9">
        <v>4.0</v>
      </c>
      <c r="AW5" s="9">
        <v>4.0</v>
      </c>
      <c r="AX5" s="9">
        <v>4.0</v>
      </c>
      <c r="AY5" s="9">
        <v>4.0</v>
      </c>
      <c r="AZ5" s="9">
        <v>4.0</v>
      </c>
      <c r="BA5" s="9">
        <v>4.0</v>
      </c>
      <c r="BB5" s="9">
        <v>3.0</v>
      </c>
      <c r="BC5" s="11">
        <f t="shared" si="4"/>
        <v>1</v>
      </c>
      <c r="BD5" s="8">
        <f t="shared" si="5"/>
        <v>162</v>
      </c>
      <c r="BE5" s="11">
        <f t="shared" si="1"/>
        <v>0.81</v>
      </c>
      <c r="BF5" s="11">
        <f t="shared" si="6"/>
        <v>0.7926488095</v>
      </c>
      <c r="BG5" s="8">
        <f t="shared" si="7"/>
        <v>3</v>
      </c>
      <c r="BH5" s="8" t="str">
        <f t="shared" si="2"/>
        <v>ดี</v>
      </c>
      <c r="BI5" s="8" t="str">
        <f t="shared" si="3"/>
        <v>มิติ 2</v>
      </c>
      <c r="BJ5" s="11">
        <f t="shared" si="8"/>
        <v>0.9285714286</v>
      </c>
      <c r="BK5" s="11">
        <f t="shared" si="9"/>
        <v>0.5714285714</v>
      </c>
      <c r="BL5" s="11">
        <f t="shared" si="10"/>
        <v>0.7916666667</v>
      </c>
      <c r="BM5" s="11">
        <f t="shared" si="11"/>
        <v>0.8928571429</v>
      </c>
      <c r="BN5" s="11">
        <f t="shared" si="12"/>
        <v>0.8571428571</v>
      </c>
      <c r="BO5" s="11">
        <f t="shared" si="13"/>
        <v>0.6428571429</v>
      </c>
      <c r="BP5" s="11">
        <f t="shared" si="14"/>
        <v>0.95</v>
      </c>
      <c r="BQ5" s="11">
        <f t="shared" si="15"/>
        <v>0.9375</v>
      </c>
      <c r="BR5" s="8"/>
    </row>
    <row r="6">
      <c r="A6" s="8" t="s">
        <v>141</v>
      </c>
      <c r="B6" s="8" t="str">
        <f>IFERROR(VLOOKUP(A6,'01_ข้อมูลร้าน'!$A$2:$B$51,2,FALSE),"")</f>
        <v>16Brix Melon Farm&amp;Café</v>
      </c>
      <c r="C6" s="8" t="s">
        <v>114</v>
      </c>
      <c r="D6" s="8"/>
      <c r="E6" s="9">
        <v>4.0</v>
      </c>
      <c r="F6" s="9">
        <v>3.0</v>
      </c>
      <c r="G6" s="9">
        <v>2.0</v>
      </c>
      <c r="H6" s="9">
        <v>4.0</v>
      </c>
      <c r="I6" s="9">
        <v>4.0</v>
      </c>
      <c r="J6" s="9">
        <v>4.0</v>
      </c>
      <c r="K6" s="9">
        <v>4.0</v>
      </c>
      <c r="L6" s="9">
        <v>1.0</v>
      </c>
      <c r="M6" s="9">
        <v>1.0</v>
      </c>
      <c r="N6" s="9">
        <v>0.0</v>
      </c>
      <c r="O6" s="9">
        <v>2.0</v>
      </c>
      <c r="P6" s="9">
        <v>2.0</v>
      </c>
      <c r="Q6" s="9">
        <v>4.0</v>
      </c>
      <c r="R6" s="9">
        <v>2.0</v>
      </c>
      <c r="S6" s="9">
        <v>4.0</v>
      </c>
      <c r="T6" s="9">
        <v>4.0</v>
      </c>
      <c r="U6" s="9">
        <v>4.0</v>
      </c>
      <c r="V6" s="9">
        <v>1.0</v>
      </c>
      <c r="W6" s="9">
        <v>4.0</v>
      </c>
      <c r="X6" s="9">
        <v>4.0</v>
      </c>
      <c r="Y6" s="9">
        <v>4.0</v>
      </c>
      <c r="Z6" s="9">
        <v>4.0</v>
      </c>
      <c r="AA6" s="9">
        <v>4.0</v>
      </c>
      <c r="AB6" s="9">
        <v>0.0</v>
      </c>
      <c r="AC6" s="9">
        <v>4.0</v>
      </c>
      <c r="AD6" s="9">
        <v>4.0</v>
      </c>
      <c r="AE6" s="9">
        <v>3.0</v>
      </c>
      <c r="AF6" s="9">
        <v>4.0</v>
      </c>
      <c r="AG6" s="9">
        <v>4.0</v>
      </c>
      <c r="AH6" s="9">
        <v>3.0</v>
      </c>
      <c r="AI6" s="9">
        <v>3.0</v>
      </c>
      <c r="AJ6" s="9">
        <v>3.0</v>
      </c>
      <c r="AK6" s="9">
        <v>4.0</v>
      </c>
      <c r="AL6" s="9">
        <v>4.0</v>
      </c>
      <c r="AM6" s="9">
        <v>2.0</v>
      </c>
      <c r="AN6" s="9">
        <v>0.0</v>
      </c>
      <c r="AO6" s="9">
        <v>2.0</v>
      </c>
      <c r="AP6" s="9">
        <v>2.0</v>
      </c>
      <c r="AQ6" s="9">
        <v>2.0</v>
      </c>
      <c r="AR6" s="9">
        <v>3.0</v>
      </c>
      <c r="AS6" s="9">
        <v>3.0</v>
      </c>
      <c r="AT6" s="9">
        <v>3.0</v>
      </c>
      <c r="AU6" s="9">
        <v>4.0</v>
      </c>
      <c r="AV6" s="9">
        <v>4.0</v>
      </c>
      <c r="AW6" s="9">
        <v>4.0</v>
      </c>
      <c r="AX6" s="9">
        <v>4.0</v>
      </c>
      <c r="AY6" s="9">
        <v>3.0</v>
      </c>
      <c r="AZ6" s="9">
        <v>4.0</v>
      </c>
      <c r="BA6" s="9">
        <v>4.0</v>
      </c>
      <c r="BB6" s="9">
        <v>4.0</v>
      </c>
      <c r="BC6" s="11">
        <f t="shared" si="4"/>
        <v>1</v>
      </c>
      <c r="BD6" s="8">
        <f t="shared" si="5"/>
        <v>154</v>
      </c>
      <c r="BE6" s="11">
        <f t="shared" si="1"/>
        <v>0.77</v>
      </c>
      <c r="BF6" s="11">
        <f t="shared" si="6"/>
        <v>0.7474107143</v>
      </c>
      <c r="BG6" s="8">
        <f t="shared" si="7"/>
        <v>6</v>
      </c>
      <c r="BH6" s="8" t="str">
        <f t="shared" si="2"/>
        <v>ดี</v>
      </c>
      <c r="BI6" s="8" t="str">
        <f t="shared" si="3"/>
        <v>มิติ 2</v>
      </c>
      <c r="BJ6" s="11">
        <f t="shared" si="8"/>
        <v>0.8928571429</v>
      </c>
      <c r="BK6" s="11">
        <f t="shared" si="9"/>
        <v>0.4285714286</v>
      </c>
      <c r="BL6" s="11">
        <f t="shared" si="10"/>
        <v>0.875</v>
      </c>
      <c r="BM6" s="11">
        <f t="shared" si="11"/>
        <v>0.8214285714</v>
      </c>
      <c r="BN6" s="11">
        <f t="shared" si="12"/>
        <v>0.8928571429</v>
      </c>
      <c r="BO6" s="11">
        <f t="shared" si="13"/>
        <v>0.5</v>
      </c>
      <c r="BP6" s="11">
        <f t="shared" si="14"/>
        <v>0.95</v>
      </c>
      <c r="BQ6" s="11">
        <f t="shared" si="15"/>
        <v>0.9375</v>
      </c>
      <c r="BR6" s="8"/>
    </row>
    <row r="7">
      <c r="A7" s="8" t="s">
        <v>147</v>
      </c>
      <c r="B7" s="8" t="str">
        <f>IFERROR(VLOOKUP(A7,'01_ข้อมูลร้าน'!$A$2:$B$51,2,FALSE),"")</f>
        <v>ร้านอีสานเฮาส์ (304 ปราจีนบุรี)</v>
      </c>
      <c r="C7" s="8" t="s">
        <v>114</v>
      </c>
      <c r="D7" s="8"/>
      <c r="E7" s="9">
        <v>4.0</v>
      </c>
      <c r="F7" s="9">
        <v>0.0</v>
      </c>
      <c r="G7" s="9">
        <v>1.0</v>
      </c>
      <c r="H7" s="9">
        <v>4.0</v>
      </c>
      <c r="I7" s="9">
        <v>4.0</v>
      </c>
      <c r="J7" s="9">
        <v>3.0</v>
      </c>
      <c r="K7" s="9">
        <v>4.0</v>
      </c>
      <c r="L7" s="9">
        <v>4.0</v>
      </c>
      <c r="M7" s="9">
        <v>4.0</v>
      </c>
      <c r="N7" s="9">
        <v>3.0</v>
      </c>
      <c r="O7" s="9">
        <v>3.0</v>
      </c>
      <c r="P7" s="9">
        <v>4.0</v>
      </c>
      <c r="Q7" s="9">
        <v>4.0</v>
      </c>
      <c r="R7" s="9">
        <v>4.0</v>
      </c>
      <c r="S7" s="9">
        <v>4.0</v>
      </c>
      <c r="T7" s="9">
        <v>4.0</v>
      </c>
      <c r="U7" s="9">
        <v>4.0</v>
      </c>
      <c r="V7" s="9">
        <v>4.0</v>
      </c>
      <c r="W7" s="9">
        <v>4.0</v>
      </c>
      <c r="X7" s="9">
        <v>4.0</v>
      </c>
      <c r="Y7" s="9">
        <v>4.0</v>
      </c>
      <c r="Z7" s="9">
        <v>4.0</v>
      </c>
      <c r="AA7" s="9">
        <v>4.0</v>
      </c>
      <c r="AB7" s="9">
        <v>4.0</v>
      </c>
      <c r="AC7" s="9">
        <v>4.0</v>
      </c>
      <c r="AD7" s="9">
        <v>4.0</v>
      </c>
      <c r="AE7" s="9">
        <v>4.0</v>
      </c>
      <c r="AF7" s="9">
        <v>3.0</v>
      </c>
      <c r="AG7" s="9">
        <v>3.0</v>
      </c>
      <c r="AH7" s="9">
        <v>3.0</v>
      </c>
      <c r="AI7" s="9">
        <v>3.0</v>
      </c>
      <c r="AJ7" s="9">
        <v>3.0</v>
      </c>
      <c r="AK7" s="9">
        <v>3.0</v>
      </c>
      <c r="AL7" s="9">
        <v>4.0</v>
      </c>
      <c r="AM7" s="9">
        <v>4.0</v>
      </c>
      <c r="AN7" s="9">
        <v>4.0</v>
      </c>
      <c r="AO7" s="9">
        <v>2.0</v>
      </c>
      <c r="AP7" s="9">
        <v>4.0</v>
      </c>
      <c r="AQ7" s="9">
        <v>2.0</v>
      </c>
      <c r="AR7" s="9">
        <v>2.0</v>
      </c>
      <c r="AS7" s="9">
        <v>4.0</v>
      </c>
      <c r="AT7" s="9">
        <v>4.0</v>
      </c>
      <c r="AU7" s="9">
        <v>3.0</v>
      </c>
      <c r="AV7" s="9">
        <v>4.0</v>
      </c>
      <c r="AW7" s="9">
        <v>4.0</v>
      </c>
      <c r="AX7" s="9">
        <v>4.0</v>
      </c>
      <c r="AY7" s="9">
        <v>4.0</v>
      </c>
      <c r="AZ7" s="9">
        <v>4.0</v>
      </c>
      <c r="BA7" s="9">
        <v>4.0</v>
      </c>
      <c r="BB7" s="9">
        <v>4.0</v>
      </c>
      <c r="BC7" s="11">
        <f t="shared" si="4"/>
        <v>1</v>
      </c>
      <c r="BD7" s="8">
        <f t="shared" si="5"/>
        <v>177</v>
      </c>
      <c r="BE7" s="11">
        <f t="shared" si="1"/>
        <v>0.885</v>
      </c>
      <c r="BF7" s="11">
        <f t="shared" si="6"/>
        <v>0.8710714286</v>
      </c>
      <c r="BG7" s="8">
        <f t="shared" si="7"/>
        <v>2</v>
      </c>
      <c r="BH7" s="8" t="str">
        <f t="shared" si="2"/>
        <v>ดีมาก</v>
      </c>
      <c r="BI7" s="8" t="str">
        <f t="shared" si="3"/>
        <v>มิติ 1</v>
      </c>
      <c r="BJ7" s="11">
        <f t="shared" si="8"/>
        <v>0.7142857143</v>
      </c>
      <c r="BK7" s="11">
        <f t="shared" si="9"/>
        <v>0.9285714286</v>
      </c>
      <c r="BL7" s="11">
        <f t="shared" si="10"/>
        <v>1</v>
      </c>
      <c r="BM7" s="11">
        <f t="shared" si="11"/>
        <v>1</v>
      </c>
      <c r="BN7" s="11">
        <f t="shared" si="12"/>
        <v>0.7857142857</v>
      </c>
      <c r="BO7" s="11">
        <f t="shared" si="13"/>
        <v>0.7857142857</v>
      </c>
      <c r="BP7" s="11">
        <f t="shared" si="14"/>
        <v>0.95</v>
      </c>
      <c r="BQ7" s="11">
        <f t="shared" si="15"/>
        <v>1</v>
      </c>
      <c r="BR7" s="8"/>
    </row>
    <row r="8">
      <c r="A8" s="8" t="s">
        <v>153</v>
      </c>
      <c r="B8" s="8" t="str">
        <f>IFERROR(VLOOKUP(A8,'01_ข้อมูลร้าน'!$A$2:$B$51,2,FALSE),"")</f>
        <v>ร้านคำนิยม</v>
      </c>
      <c r="C8" s="8" t="s">
        <v>114</v>
      </c>
      <c r="D8" s="8"/>
      <c r="E8" s="9">
        <v>4.0</v>
      </c>
      <c r="F8" s="9">
        <v>3.0</v>
      </c>
      <c r="G8" s="9">
        <v>1.0</v>
      </c>
      <c r="H8" s="9">
        <v>4.0</v>
      </c>
      <c r="I8" s="9">
        <v>3.0</v>
      </c>
      <c r="J8" s="9">
        <v>3.0</v>
      </c>
      <c r="K8" s="9">
        <v>3.0</v>
      </c>
      <c r="L8" s="9">
        <v>3.0</v>
      </c>
      <c r="M8" s="9">
        <v>4.0</v>
      </c>
      <c r="N8" s="9">
        <v>2.0</v>
      </c>
      <c r="O8" s="9">
        <v>1.0</v>
      </c>
      <c r="P8" s="9">
        <v>4.0</v>
      </c>
      <c r="Q8" s="9">
        <v>4.0</v>
      </c>
      <c r="R8" s="9">
        <v>4.0</v>
      </c>
      <c r="S8" s="9">
        <v>4.0</v>
      </c>
      <c r="T8" s="9">
        <v>4.0</v>
      </c>
      <c r="U8" s="9">
        <v>4.0</v>
      </c>
      <c r="V8" s="9">
        <v>3.0</v>
      </c>
      <c r="W8" s="9">
        <v>4.0</v>
      </c>
      <c r="X8" s="9">
        <v>3.0</v>
      </c>
      <c r="Y8" s="9">
        <v>4.0</v>
      </c>
      <c r="Z8" s="9">
        <v>4.0</v>
      </c>
      <c r="AA8" s="9">
        <v>4.0</v>
      </c>
      <c r="AB8" s="9">
        <v>4.0</v>
      </c>
      <c r="AC8" s="9">
        <v>4.0</v>
      </c>
      <c r="AD8" s="9">
        <v>4.0</v>
      </c>
      <c r="AE8" s="9">
        <v>2.0</v>
      </c>
      <c r="AF8" s="9">
        <v>3.0</v>
      </c>
      <c r="AG8" s="9">
        <v>2.0</v>
      </c>
      <c r="AH8" s="9">
        <v>1.0</v>
      </c>
      <c r="AI8" s="9">
        <v>3.0</v>
      </c>
      <c r="AJ8" s="9">
        <v>3.0</v>
      </c>
      <c r="AK8" s="9">
        <v>3.0</v>
      </c>
      <c r="AL8" s="9">
        <v>2.0</v>
      </c>
      <c r="AM8" s="9">
        <v>2.0</v>
      </c>
      <c r="AN8" s="9">
        <v>2.0</v>
      </c>
      <c r="AO8" s="9">
        <v>3.0</v>
      </c>
      <c r="AP8" s="9">
        <v>4.0</v>
      </c>
      <c r="AQ8" s="9">
        <v>2.0</v>
      </c>
      <c r="AR8" s="9">
        <v>3.0</v>
      </c>
      <c r="AS8" s="9">
        <v>4.0</v>
      </c>
      <c r="AT8" s="9">
        <v>4.0</v>
      </c>
      <c r="AU8" s="9">
        <v>2.0</v>
      </c>
      <c r="AV8" s="9">
        <v>4.0</v>
      </c>
      <c r="AW8" s="9">
        <v>3.0</v>
      </c>
      <c r="AX8" s="9">
        <v>4.0</v>
      </c>
      <c r="AY8" s="9">
        <v>4.0</v>
      </c>
      <c r="AZ8" s="9">
        <v>4.0</v>
      </c>
      <c r="BA8" s="9">
        <v>4.0</v>
      </c>
      <c r="BB8" s="9">
        <v>4.0</v>
      </c>
      <c r="BC8" s="11">
        <f t="shared" si="4"/>
        <v>1</v>
      </c>
      <c r="BD8" s="8">
        <f t="shared" si="5"/>
        <v>161</v>
      </c>
      <c r="BE8" s="11">
        <f t="shared" si="1"/>
        <v>0.805</v>
      </c>
      <c r="BF8" s="11">
        <f t="shared" si="6"/>
        <v>0.7827380952</v>
      </c>
      <c r="BG8" s="8">
        <f t="shared" si="7"/>
        <v>3</v>
      </c>
      <c r="BH8" s="8" t="str">
        <f t="shared" si="2"/>
        <v>ดี</v>
      </c>
      <c r="BI8" s="8" t="str">
        <f t="shared" si="3"/>
        <v>มิติ 5</v>
      </c>
      <c r="BJ8" s="11">
        <f t="shared" si="8"/>
        <v>0.75</v>
      </c>
      <c r="BK8" s="11">
        <f t="shared" si="9"/>
        <v>0.7857142857</v>
      </c>
      <c r="BL8" s="11">
        <f t="shared" si="10"/>
        <v>0.9166666667</v>
      </c>
      <c r="BM8" s="11">
        <f t="shared" si="11"/>
        <v>0.9285714286</v>
      </c>
      <c r="BN8" s="11">
        <f t="shared" si="12"/>
        <v>0.6071428571</v>
      </c>
      <c r="BO8" s="11">
        <f t="shared" si="13"/>
        <v>0.7142857143</v>
      </c>
      <c r="BP8" s="11">
        <f t="shared" si="14"/>
        <v>0.85</v>
      </c>
      <c r="BQ8" s="11">
        <f t="shared" si="15"/>
        <v>1</v>
      </c>
      <c r="BR8" s="8"/>
    </row>
    <row r="9">
      <c r="A9" s="8" t="s">
        <v>159</v>
      </c>
      <c r="B9" s="8" t="str">
        <f>IFERROR(VLOOKUP(A9,'01_ข้อมูลร้าน'!$A$2:$B$51,2,FALSE),"")</f>
        <v>ร้านอรวรรณบ้านเพ</v>
      </c>
      <c r="C9" s="8" t="s">
        <v>114</v>
      </c>
      <c r="D9" s="8"/>
      <c r="E9" s="9">
        <v>4.0</v>
      </c>
      <c r="F9" s="9">
        <v>0.0</v>
      </c>
      <c r="G9" s="9">
        <v>0.0</v>
      </c>
      <c r="H9" s="9">
        <v>1.0</v>
      </c>
      <c r="I9" s="9">
        <v>2.0</v>
      </c>
      <c r="J9" s="9">
        <v>2.0</v>
      </c>
      <c r="K9" s="9">
        <v>3.0</v>
      </c>
      <c r="L9" s="9">
        <v>0.0</v>
      </c>
      <c r="M9" s="9">
        <v>0.0</v>
      </c>
      <c r="N9" s="9">
        <v>0.0</v>
      </c>
      <c r="O9" s="9">
        <v>0.0</v>
      </c>
      <c r="P9" s="9">
        <v>0.0</v>
      </c>
      <c r="Q9" s="9">
        <v>4.0</v>
      </c>
      <c r="R9" s="9">
        <v>0.0</v>
      </c>
      <c r="S9" s="9">
        <v>1.0</v>
      </c>
      <c r="T9" s="9">
        <v>2.0</v>
      </c>
      <c r="U9" s="9">
        <v>4.0</v>
      </c>
      <c r="V9" s="9">
        <v>1.0</v>
      </c>
      <c r="W9" s="9">
        <v>1.0</v>
      </c>
      <c r="X9" s="9">
        <v>1.0</v>
      </c>
      <c r="Y9" s="9">
        <v>0.0</v>
      </c>
      <c r="Z9" s="9">
        <v>4.0</v>
      </c>
      <c r="AA9" s="9">
        <v>4.0</v>
      </c>
      <c r="AB9" s="9">
        <v>1.0</v>
      </c>
      <c r="AC9" s="9">
        <v>1.0</v>
      </c>
      <c r="AD9" s="9">
        <v>1.0</v>
      </c>
      <c r="AE9" s="9">
        <v>1.0</v>
      </c>
      <c r="AF9" s="9">
        <v>1.0</v>
      </c>
      <c r="AG9" s="9">
        <v>2.0</v>
      </c>
      <c r="AH9" s="9">
        <v>0.0</v>
      </c>
      <c r="AI9" s="9">
        <v>1.0</v>
      </c>
      <c r="AJ9" s="9">
        <v>2.0</v>
      </c>
      <c r="AK9" s="9">
        <v>2.0</v>
      </c>
      <c r="AL9" s="9">
        <v>1.0</v>
      </c>
      <c r="AM9" s="9">
        <v>1.0</v>
      </c>
      <c r="AN9" s="9">
        <v>1.0</v>
      </c>
      <c r="AO9" s="9">
        <v>3.0</v>
      </c>
      <c r="AP9" s="9">
        <v>0.0</v>
      </c>
      <c r="AQ9" s="9">
        <v>0.0</v>
      </c>
      <c r="AR9" s="9">
        <v>3.0</v>
      </c>
      <c r="AS9" s="9">
        <v>3.0</v>
      </c>
      <c r="AT9" s="9">
        <v>3.0</v>
      </c>
      <c r="AU9" s="9">
        <v>4.0</v>
      </c>
      <c r="AV9" s="9">
        <v>3.0</v>
      </c>
      <c r="AW9" s="9">
        <v>2.0</v>
      </c>
      <c r="AX9" s="9">
        <v>3.0</v>
      </c>
      <c r="AY9" s="9">
        <v>4.0</v>
      </c>
      <c r="AZ9" s="9">
        <v>4.0</v>
      </c>
      <c r="BA9" s="9">
        <v>3.0</v>
      </c>
      <c r="BB9" s="9">
        <v>3.0</v>
      </c>
      <c r="BC9" s="11">
        <f t="shared" si="4"/>
        <v>1</v>
      </c>
      <c r="BD9" s="8">
        <f t="shared" si="5"/>
        <v>87</v>
      </c>
      <c r="BE9" s="11">
        <f t="shared" si="1"/>
        <v>0.435</v>
      </c>
      <c r="BF9" s="11">
        <f t="shared" si="6"/>
        <v>0.4039880952</v>
      </c>
      <c r="BG9" s="8">
        <f t="shared" si="7"/>
        <v>26</v>
      </c>
      <c r="BH9" s="8" t="str">
        <f t="shared" si="2"/>
        <v>เร่งแก้ไข</v>
      </c>
      <c r="BI9" s="8" t="str">
        <f t="shared" si="3"/>
        <v>มิติ 2</v>
      </c>
      <c r="BJ9" s="11">
        <f t="shared" si="8"/>
        <v>0.4285714286</v>
      </c>
      <c r="BK9" s="11">
        <f t="shared" si="9"/>
        <v>0.1428571429</v>
      </c>
      <c r="BL9" s="11">
        <f t="shared" si="10"/>
        <v>0.4166666667</v>
      </c>
      <c r="BM9" s="11">
        <f t="shared" si="11"/>
        <v>0.4285714286</v>
      </c>
      <c r="BN9" s="11">
        <f t="shared" si="12"/>
        <v>0.3214285714</v>
      </c>
      <c r="BO9" s="11">
        <f t="shared" si="13"/>
        <v>0.3928571429</v>
      </c>
      <c r="BP9" s="11">
        <f t="shared" si="14"/>
        <v>0.75</v>
      </c>
      <c r="BQ9" s="11">
        <f t="shared" si="15"/>
        <v>0.875</v>
      </c>
      <c r="BR9" s="8"/>
    </row>
    <row r="10">
      <c r="A10" s="8" t="s">
        <v>161</v>
      </c>
      <c r="B10" s="8" t="str">
        <f>IFERROR(VLOOKUP(A10,'01_ข้อมูลร้าน'!$A$2:$B$51,2,FALSE),"")</f>
        <v>ครัวเดอมอง</v>
      </c>
      <c r="C10" s="8" t="s">
        <v>114</v>
      </c>
      <c r="D10" s="8"/>
      <c r="E10" s="9">
        <v>4.0</v>
      </c>
      <c r="F10" s="9">
        <v>3.0</v>
      </c>
      <c r="G10" s="9">
        <v>4.0</v>
      </c>
      <c r="H10" s="9">
        <v>2.0</v>
      </c>
      <c r="I10" s="9">
        <v>3.0</v>
      </c>
      <c r="J10" s="9">
        <v>2.0</v>
      </c>
      <c r="K10" s="9">
        <v>3.0</v>
      </c>
      <c r="L10" s="9">
        <v>0.0</v>
      </c>
      <c r="M10" s="9">
        <v>2.0</v>
      </c>
      <c r="N10" s="9">
        <v>0.0</v>
      </c>
      <c r="O10" s="9">
        <v>2.0</v>
      </c>
      <c r="P10" s="9">
        <v>0.0</v>
      </c>
      <c r="Q10" s="9">
        <v>4.0</v>
      </c>
      <c r="R10" s="9">
        <v>3.0</v>
      </c>
      <c r="S10" s="9">
        <v>4.0</v>
      </c>
      <c r="T10" s="9">
        <v>1.0</v>
      </c>
      <c r="U10" s="9">
        <v>2.0</v>
      </c>
      <c r="V10" s="9">
        <v>0.0</v>
      </c>
      <c r="W10" s="9">
        <v>1.0</v>
      </c>
      <c r="X10" s="9">
        <v>0.0</v>
      </c>
      <c r="Y10" s="9">
        <v>3.0</v>
      </c>
      <c r="Z10" s="9">
        <v>0.0</v>
      </c>
      <c r="AA10" s="9">
        <v>3.0</v>
      </c>
      <c r="AB10" s="9">
        <v>0.0</v>
      </c>
      <c r="AC10" s="9">
        <v>0.0</v>
      </c>
      <c r="AD10" s="9">
        <v>1.0</v>
      </c>
      <c r="AE10" s="9">
        <v>0.0</v>
      </c>
      <c r="AF10" s="9">
        <v>1.0</v>
      </c>
      <c r="AG10" s="9">
        <v>1.0</v>
      </c>
      <c r="AH10" s="9">
        <v>0.0</v>
      </c>
      <c r="AI10" s="9">
        <v>1.0</v>
      </c>
      <c r="AJ10" s="9">
        <v>2.0</v>
      </c>
      <c r="AK10" s="9">
        <v>2.0</v>
      </c>
      <c r="AL10" s="9">
        <v>1.0</v>
      </c>
      <c r="AM10" s="9">
        <v>1.0</v>
      </c>
      <c r="AN10" s="9">
        <v>0.0</v>
      </c>
      <c r="AO10" s="9">
        <v>3.0</v>
      </c>
      <c r="AP10" s="9">
        <v>0.0</v>
      </c>
      <c r="AQ10" s="9">
        <v>1.0</v>
      </c>
      <c r="AR10" s="9">
        <v>4.0</v>
      </c>
      <c r="AS10" s="9">
        <v>2.0</v>
      </c>
      <c r="AT10" s="9">
        <v>2.0</v>
      </c>
      <c r="AU10" s="9">
        <v>3.0</v>
      </c>
      <c r="AV10" s="9">
        <v>2.0</v>
      </c>
      <c r="AW10" s="9">
        <v>3.0</v>
      </c>
      <c r="AX10" s="9">
        <v>0.0</v>
      </c>
      <c r="AY10" s="9">
        <v>3.0</v>
      </c>
      <c r="AZ10" s="9">
        <v>4.0</v>
      </c>
      <c r="BA10" s="9">
        <v>3.0</v>
      </c>
      <c r="BB10" s="9">
        <v>3.0</v>
      </c>
      <c r="BC10" s="11">
        <f t="shared" si="4"/>
        <v>1</v>
      </c>
      <c r="BD10" s="8">
        <f t="shared" si="5"/>
        <v>89</v>
      </c>
      <c r="BE10" s="11">
        <f t="shared" si="1"/>
        <v>0.445</v>
      </c>
      <c r="BF10" s="11">
        <f t="shared" si="6"/>
        <v>0.4244940476</v>
      </c>
      <c r="BG10" s="8">
        <f t="shared" si="7"/>
        <v>22</v>
      </c>
      <c r="BH10" s="8" t="str">
        <f t="shared" si="2"/>
        <v>เร่งแก้ไข</v>
      </c>
      <c r="BI10" s="8" t="str">
        <f t="shared" si="3"/>
        <v>มิติ 4</v>
      </c>
      <c r="BJ10" s="11">
        <f t="shared" si="8"/>
        <v>0.75</v>
      </c>
      <c r="BK10" s="11">
        <f t="shared" si="9"/>
        <v>0.3928571429</v>
      </c>
      <c r="BL10" s="11">
        <f t="shared" si="10"/>
        <v>0.3333333333</v>
      </c>
      <c r="BM10" s="11">
        <f t="shared" si="11"/>
        <v>0.25</v>
      </c>
      <c r="BN10" s="11">
        <f t="shared" si="12"/>
        <v>0.2857142857</v>
      </c>
      <c r="BO10" s="11">
        <f t="shared" si="13"/>
        <v>0.3928571429</v>
      </c>
      <c r="BP10" s="11">
        <f t="shared" si="14"/>
        <v>0.5</v>
      </c>
      <c r="BQ10" s="11">
        <f t="shared" si="15"/>
        <v>0.8125</v>
      </c>
      <c r="BR10" s="8"/>
    </row>
    <row r="11">
      <c r="A11" s="8" t="s">
        <v>163</v>
      </c>
      <c r="B11" s="8" t="str">
        <f>IFERROR(VLOOKUP(A11,'01_ข้อมูลร้าน'!$A$2:$B$51,2,FALSE),"")</f>
        <v>เรือนไทย พัทยา</v>
      </c>
      <c r="C11" s="8" t="s">
        <v>114</v>
      </c>
      <c r="D11" s="8"/>
      <c r="E11" s="9">
        <v>4.0</v>
      </c>
      <c r="F11" s="9">
        <v>1.0</v>
      </c>
      <c r="G11" s="9">
        <v>0.0</v>
      </c>
      <c r="H11" s="9">
        <v>1.0</v>
      </c>
      <c r="I11" s="9">
        <v>1.0</v>
      </c>
      <c r="J11" s="9">
        <v>3.0</v>
      </c>
      <c r="K11" s="9">
        <v>4.0</v>
      </c>
      <c r="L11" s="9">
        <v>2.0</v>
      </c>
      <c r="M11" s="9">
        <v>0.0</v>
      </c>
      <c r="N11" s="9">
        <v>4.0</v>
      </c>
      <c r="O11" s="9">
        <v>0.0</v>
      </c>
      <c r="P11" s="9">
        <v>2.0</v>
      </c>
      <c r="Q11" s="9">
        <v>4.0</v>
      </c>
      <c r="R11" s="9">
        <v>4.0</v>
      </c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9">
        <v>4.0</v>
      </c>
      <c r="AN11" s="9">
        <v>1.0</v>
      </c>
      <c r="AO11" s="9">
        <v>4.0</v>
      </c>
      <c r="AP11" s="9">
        <v>1.0</v>
      </c>
      <c r="AQ11" s="9">
        <v>0.0</v>
      </c>
      <c r="AR11" s="9">
        <v>4.0</v>
      </c>
      <c r="AS11" s="9">
        <v>4.0</v>
      </c>
      <c r="AT11" s="9">
        <v>4.0</v>
      </c>
      <c r="AU11" s="9">
        <v>3.0</v>
      </c>
      <c r="AV11" s="9">
        <v>4.0</v>
      </c>
      <c r="AW11" s="9">
        <v>2.0</v>
      </c>
      <c r="AX11" s="9">
        <v>4.0</v>
      </c>
      <c r="AY11" s="9">
        <v>4.0</v>
      </c>
      <c r="AZ11" s="9">
        <v>4.0</v>
      </c>
      <c r="BA11" s="9">
        <v>4.0</v>
      </c>
      <c r="BB11" s="9">
        <v>1.0</v>
      </c>
      <c r="BC11" s="11">
        <f t="shared" si="4"/>
        <v>0.6</v>
      </c>
      <c r="BD11" s="8">
        <f t="shared" si="5"/>
        <v>78</v>
      </c>
      <c r="BE11" s="11">
        <f t="shared" si="1"/>
        <v>0.39</v>
      </c>
      <c r="BF11" s="11">
        <f t="shared" si="6"/>
        <v>0.3608035714</v>
      </c>
      <c r="BG11" s="8">
        <f t="shared" si="7"/>
        <v>10</v>
      </c>
      <c r="BH11" s="8" t="str">
        <f t="shared" si="2"/>
        <v>เร่งแก้ไข</v>
      </c>
      <c r="BI11" s="8" t="str">
        <f t="shared" si="3"/>
        <v>มิติ 3</v>
      </c>
      <c r="BJ11" s="11">
        <f t="shared" si="8"/>
        <v>0.5</v>
      </c>
      <c r="BK11" s="11">
        <f t="shared" si="9"/>
        <v>0.5714285714</v>
      </c>
      <c r="BL11" s="11">
        <f t="shared" si="10"/>
        <v>0</v>
      </c>
      <c r="BM11" s="11">
        <f t="shared" si="11"/>
        <v>0</v>
      </c>
      <c r="BN11" s="11">
        <f t="shared" si="12"/>
        <v>0</v>
      </c>
      <c r="BO11" s="11">
        <f t="shared" si="13"/>
        <v>0.6428571429</v>
      </c>
      <c r="BP11" s="11">
        <f t="shared" si="14"/>
        <v>0.85</v>
      </c>
      <c r="BQ11" s="11">
        <f t="shared" si="15"/>
        <v>0.8125</v>
      </c>
      <c r="BR11" s="8"/>
    </row>
    <row r="12">
      <c r="A12" s="8" t="s">
        <v>165</v>
      </c>
      <c r="B12" s="8" t="str">
        <f>IFERROR(VLOOKUP(A12,'01_ข้อมูลร้าน'!$A$2:$B$51,2,FALSE),"")</f>
        <v>ร้านอาหาร ทะเลลานโพธิ์ ซีฟู้ด</v>
      </c>
      <c r="C12" s="8" t="s">
        <v>114</v>
      </c>
      <c r="D12" s="8"/>
      <c r="E12" s="9">
        <v>3.0</v>
      </c>
      <c r="F12" s="9">
        <v>3.0</v>
      </c>
      <c r="G12" s="9">
        <v>3.0</v>
      </c>
      <c r="H12" s="9">
        <v>1.0</v>
      </c>
      <c r="I12" s="9">
        <v>2.0</v>
      </c>
      <c r="J12" s="9">
        <v>3.0</v>
      </c>
      <c r="K12" s="9">
        <v>1.0</v>
      </c>
      <c r="L12" s="9">
        <v>4.0</v>
      </c>
      <c r="M12" s="9">
        <v>4.0</v>
      </c>
      <c r="N12" s="9">
        <v>4.0</v>
      </c>
      <c r="O12" s="9">
        <v>3.0</v>
      </c>
      <c r="P12" s="9">
        <v>0.0</v>
      </c>
      <c r="Q12" s="9">
        <v>4.0</v>
      </c>
      <c r="R12" s="9">
        <v>3.0</v>
      </c>
      <c r="S12" s="9">
        <v>4.0</v>
      </c>
      <c r="T12" s="9">
        <v>3.0</v>
      </c>
      <c r="U12" s="9">
        <v>3.0</v>
      </c>
      <c r="V12" s="9">
        <v>2.0</v>
      </c>
      <c r="W12" s="9">
        <v>4.0</v>
      </c>
      <c r="X12" s="9">
        <v>1.0</v>
      </c>
      <c r="Y12" s="9">
        <v>3.0</v>
      </c>
      <c r="Z12" s="9">
        <v>2.0</v>
      </c>
      <c r="AA12" s="9">
        <v>3.0</v>
      </c>
      <c r="AB12" s="9">
        <v>2.0</v>
      </c>
      <c r="AC12" s="9">
        <v>1.0</v>
      </c>
      <c r="AD12" s="9">
        <v>2.0</v>
      </c>
      <c r="AE12" s="9">
        <v>3.0</v>
      </c>
      <c r="AF12" s="9">
        <v>2.0</v>
      </c>
      <c r="AG12" s="9">
        <v>3.0</v>
      </c>
      <c r="AH12" s="9">
        <v>2.0</v>
      </c>
      <c r="AI12" s="9">
        <v>2.0</v>
      </c>
      <c r="AJ12" s="9">
        <v>3.0</v>
      </c>
      <c r="AK12" s="9">
        <v>2.0</v>
      </c>
      <c r="AL12" s="9">
        <v>2.0</v>
      </c>
      <c r="AM12" s="9">
        <v>4.0</v>
      </c>
      <c r="AN12" s="9">
        <v>2.0</v>
      </c>
      <c r="AO12" s="9">
        <v>3.0</v>
      </c>
      <c r="AP12" s="9">
        <v>4.0</v>
      </c>
      <c r="AQ12" s="9">
        <v>3.0</v>
      </c>
      <c r="AR12" s="9">
        <v>4.0</v>
      </c>
      <c r="AS12" s="9">
        <v>2.0</v>
      </c>
      <c r="AT12" s="9">
        <v>3.0</v>
      </c>
      <c r="AU12" s="9">
        <v>2.0</v>
      </c>
      <c r="AV12" s="9">
        <v>3.0</v>
      </c>
      <c r="AW12" s="9">
        <v>3.0</v>
      </c>
      <c r="AX12" s="9">
        <v>2.0</v>
      </c>
      <c r="AY12" s="9">
        <v>3.0</v>
      </c>
      <c r="AZ12" s="9">
        <v>3.0</v>
      </c>
      <c r="BA12" s="9">
        <v>3.0</v>
      </c>
      <c r="BB12" s="9">
        <v>3.0</v>
      </c>
      <c r="BC12" s="11">
        <f t="shared" si="4"/>
        <v>1</v>
      </c>
      <c r="BD12" s="8">
        <f t="shared" si="5"/>
        <v>134</v>
      </c>
      <c r="BE12" s="11">
        <f t="shared" si="1"/>
        <v>0.67</v>
      </c>
      <c r="BF12" s="11">
        <f t="shared" si="6"/>
        <v>0.6722619048</v>
      </c>
      <c r="BG12" s="8">
        <f t="shared" si="7"/>
        <v>5</v>
      </c>
      <c r="BH12" s="8" t="str">
        <f t="shared" si="2"/>
        <v>ดี</v>
      </c>
      <c r="BI12" s="8" t="str">
        <f t="shared" si="3"/>
        <v>มิติ 1</v>
      </c>
      <c r="BJ12" s="11">
        <f t="shared" si="8"/>
        <v>0.5714285714</v>
      </c>
      <c r="BK12" s="11">
        <f t="shared" si="9"/>
        <v>0.7857142857</v>
      </c>
      <c r="BL12" s="11">
        <f t="shared" si="10"/>
        <v>0.7083333333</v>
      </c>
      <c r="BM12" s="11">
        <f t="shared" si="11"/>
        <v>0.5714285714</v>
      </c>
      <c r="BN12" s="11">
        <f t="shared" si="12"/>
        <v>0.5714285714</v>
      </c>
      <c r="BO12" s="11">
        <f t="shared" si="13"/>
        <v>0.7857142857</v>
      </c>
      <c r="BP12" s="11">
        <f t="shared" si="14"/>
        <v>0.65</v>
      </c>
      <c r="BQ12" s="11">
        <f t="shared" si="15"/>
        <v>0.75</v>
      </c>
      <c r="BR12" s="8"/>
    </row>
    <row r="13">
      <c r="A13" s="8" t="s">
        <v>169</v>
      </c>
      <c r="B13" s="8" t="str">
        <f>IFERROR(VLOOKUP(A13,'01_ข้อมูลร้าน'!$A$2:$B$51,2,FALSE),"")</f>
        <v>นายกุ่ยไก่หุบบอน @เขาชีจรรย์</v>
      </c>
      <c r="C13" s="8" t="s">
        <v>114</v>
      </c>
      <c r="D13" s="8"/>
      <c r="E13" s="9">
        <v>4.0</v>
      </c>
      <c r="F13" s="9">
        <v>2.0</v>
      </c>
      <c r="G13" s="9">
        <v>3.0</v>
      </c>
      <c r="H13" s="9">
        <v>1.0</v>
      </c>
      <c r="I13" s="9">
        <v>4.0</v>
      </c>
      <c r="J13" s="9">
        <v>1.0</v>
      </c>
      <c r="K13" s="9">
        <v>3.0</v>
      </c>
      <c r="L13" s="9">
        <v>3.0</v>
      </c>
      <c r="M13" s="9">
        <v>3.0</v>
      </c>
      <c r="N13" s="9">
        <v>3.0</v>
      </c>
      <c r="O13" s="9">
        <v>2.0</v>
      </c>
      <c r="P13" s="9">
        <v>3.0</v>
      </c>
      <c r="Q13" s="9">
        <v>3.0</v>
      </c>
      <c r="R13" s="9">
        <v>3.0</v>
      </c>
      <c r="S13" s="9">
        <v>4.0</v>
      </c>
      <c r="T13" s="9">
        <v>3.0</v>
      </c>
      <c r="U13" s="9">
        <v>4.0</v>
      </c>
      <c r="V13" s="9">
        <v>3.0</v>
      </c>
      <c r="W13" s="9">
        <v>2.0</v>
      </c>
      <c r="X13" s="9">
        <v>1.0</v>
      </c>
      <c r="Y13" s="9">
        <v>2.0</v>
      </c>
      <c r="Z13" s="9">
        <v>2.0</v>
      </c>
      <c r="AA13" s="9">
        <v>2.0</v>
      </c>
      <c r="AB13" s="9">
        <v>1.0</v>
      </c>
      <c r="AC13" s="9">
        <v>1.0</v>
      </c>
      <c r="AD13" s="9">
        <v>2.0</v>
      </c>
      <c r="AE13" s="9">
        <v>2.0</v>
      </c>
      <c r="AF13" s="9">
        <v>2.0</v>
      </c>
      <c r="AG13" s="9">
        <v>2.0</v>
      </c>
      <c r="AH13" s="9">
        <v>1.0</v>
      </c>
      <c r="AI13" s="9">
        <v>3.0</v>
      </c>
      <c r="AJ13" s="9">
        <v>3.0</v>
      </c>
      <c r="AK13" s="9">
        <v>3.0</v>
      </c>
      <c r="AL13" s="9">
        <v>3.0</v>
      </c>
      <c r="AM13" s="9">
        <v>3.0</v>
      </c>
      <c r="AN13" s="9">
        <v>3.0</v>
      </c>
      <c r="AO13" s="9">
        <v>3.0</v>
      </c>
      <c r="AP13" s="9">
        <v>3.0</v>
      </c>
      <c r="AQ13" s="9">
        <v>3.0</v>
      </c>
      <c r="AR13" s="9">
        <v>3.0</v>
      </c>
      <c r="AS13" s="9">
        <v>3.0</v>
      </c>
      <c r="AT13" s="9">
        <v>4.0</v>
      </c>
      <c r="AU13" s="9">
        <v>4.0</v>
      </c>
      <c r="AV13" s="9">
        <v>3.0</v>
      </c>
      <c r="AW13" s="9">
        <v>3.0</v>
      </c>
      <c r="AX13" s="9">
        <v>4.0</v>
      </c>
      <c r="AY13" s="9">
        <v>3.0</v>
      </c>
      <c r="AZ13" s="9">
        <v>3.0</v>
      </c>
      <c r="BA13" s="9">
        <v>3.0</v>
      </c>
      <c r="BB13" s="9">
        <v>2.0</v>
      </c>
      <c r="BC13" s="11">
        <f t="shared" si="4"/>
        <v>1</v>
      </c>
      <c r="BD13" s="8">
        <f t="shared" si="5"/>
        <v>134</v>
      </c>
      <c r="BE13" s="11">
        <f t="shared" si="1"/>
        <v>0.67</v>
      </c>
      <c r="BF13" s="11">
        <f t="shared" si="6"/>
        <v>0.6603869048</v>
      </c>
      <c r="BG13" s="8">
        <f t="shared" si="7"/>
        <v>6</v>
      </c>
      <c r="BH13" s="8" t="str">
        <f t="shared" si="2"/>
        <v>ดี</v>
      </c>
      <c r="BI13" s="8" t="str">
        <f t="shared" si="3"/>
        <v>มิติ 4</v>
      </c>
      <c r="BJ13" s="11">
        <f t="shared" si="8"/>
        <v>0.6428571429</v>
      </c>
      <c r="BK13" s="11">
        <f t="shared" si="9"/>
        <v>0.7142857143</v>
      </c>
      <c r="BL13" s="11">
        <f t="shared" si="10"/>
        <v>0.7083333333</v>
      </c>
      <c r="BM13" s="11">
        <f t="shared" si="11"/>
        <v>0.4285714286</v>
      </c>
      <c r="BN13" s="11">
        <f t="shared" si="12"/>
        <v>0.6071428571</v>
      </c>
      <c r="BO13" s="11">
        <f t="shared" si="13"/>
        <v>0.75</v>
      </c>
      <c r="BP13" s="11">
        <f t="shared" si="14"/>
        <v>0.9</v>
      </c>
      <c r="BQ13" s="11">
        <f t="shared" si="15"/>
        <v>0.6875</v>
      </c>
      <c r="BR13" s="8"/>
    </row>
    <row r="14">
      <c r="A14" s="8" t="s">
        <v>174</v>
      </c>
      <c r="B14" s="8" t="str">
        <f>IFERROR(VLOOKUP(A14,'01_ข้อมูลร้าน'!$A$2:$B$51,2,FALSE),"")</f>
        <v>บ้านสวนบางแสน</v>
      </c>
      <c r="C14" s="8" t="s">
        <v>114</v>
      </c>
      <c r="D14" s="8"/>
      <c r="E14" s="9">
        <v>4.0</v>
      </c>
      <c r="F14" s="9">
        <v>2.0</v>
      </c>
      <c r="G14" s="9">
        <v>2.0</v>
      </c>
      <c r="H14" s="9">
        <v>1.0</v>
      </c>
      <c r="I14" s="9">
        <v>2.0</v>
      </c>
      <c r="J14" s="9">
        <v>2.0</v>
      </c>
      <c r="K14" s="9">
        <v>1.0</v>
      </c>
      <c r="L14" s="9">
        <v>3.0</v>
      </c>
      <c r="M14" s="9">
        <v>2.0</v>
      </c>
      <c r="N14" s="9">
        <v>2.0</v>
      </c>
      <c r="O14" s="9">
        <v>1.0</v>
      </c>
      <c r="P14" s="9">
        <v>3.0</v>
      </c>
      <c r="Q14" s="9">
        <v>0.0</v>
      </c>
      <c r="R14" s="9">
        <v>3.0</v>
      </c>
      <c r="S14" s="9">
        <v>4.0</v>
      </c>
      <c r="T14" s="9">
        <v>3.0</v>
      </c>
      <c r="U14" s="9">
        <v>2.0</v>
      </c>
      <c r="V14" s="9">
        <v>0.0</v>
      </c>
      <c r="W14" s="9">
        <v>2.0</v>
      </c>
      <c r="X14" s="9">
        <v>2.0</v>
      </c>
      <c r="Y14" s="9">
        <v>3.0</v>
      </c>
      <c r="Z14" s="9">
        <v>3.0</v>
      </c>
      <c r="AA14" s="9">
        <v>2.0</v>
      </c>
      <c r="AB14" s="9">
        <v>1.0</v>
      </c>
      <c r="AC14" s="9">
        <v>1.0</v>
      </c>
      <c r="AD14" s="9">
        <v>1.0</v>
      </c>
      <c r="AE14" s="9">
        <v>1.0</v>
      </c>
      <c r="AF14" s="9">
        <v>1.0</v>
      </c>
      <c r="AG14" s="9">
        <v>2.0</v>
      </c>
      <c r="AH14" s="9">
        <v>3.0</v>
      </c>
      <c r="AI14" s="9">
        <v>4.0</v>
      </c>
      <c r="AJ14" s="9">
        <v>2.0</v>
      </c>
      <c r="AK14" s="9">
        <v>3.0</v>
      </c>
      <c r="AL14" s="9">
        <v>1.0</v>
      </c>
      <c r="AM14" s="9">
        <v>3.0</v>
      </c>
      <c r="AN14" s="9">
        <v>3.0</v>
      </c>
      <c r="AO14" s="9">
        <v>4.0</v>
      </c>
      <c r="AP14" s="9">
        <v>3.0</v>
      </c>
      <c r="AQ14" s="9">
        <v>1.0</v>
      </c>
      <c r="AR14" s="9">
        <v>4.0</v>
      </c>
      <c r="AS14" s="9">
        <v>3.0</v>
      </c>
      <c r="AT14" s="9">
        <v>3.0</v>
      </c>
      <c r="AU14" s="9">
        <v>3.0</v>
      </c>
      <c r="AV14" s="9">
        <v>1.0</v>
      </c>
      <c r="AW14" s="9">
        <v>3.0</v>
      </c>
      <c r="AX14" s="9">
        <v>0.0</v>
      </c>
      <c r="AY14" s="9">
        <v>3.0</v>
      </c>
      <c r="AZ14" s="9">
        <v>3.0</v>
      </c>
      <c r="BA14" s="9">
        <v>3.0</v>
      </c>
      <c r="BB14" s="9">
        <v>2.0</v>
      </c>
      <c r="BC14" s="11">
        <f t="shared" si="4"/>
        <v>1</v>
      </c>
      <c r="BD14" s="8">
        <f t="shared" si="5"/>
        <v>111</v>
      </c>
      <c r="BE14" s="11">
        <f t="shared" si="1"/>
        <v>0.555</v>
      </c>
      <c r="BF14" s="11">
        <f t="shared" si="6"/>
        <v>0.5672916667</v>
      </c>
      <c r="BG14" s="8">
        <f t="shared" si="7"/>
        <v>14</v>
      </c>
      <c r="BH14" s="8" t="str">
        <f t="shared" si="2"/>
        <v>ต้องพัฒนา</v>
      </c>
      <c r="BI14" s="8" t="str">
        <f t="shared" si="3"/>
        <v>มิติ 4</v>
      </c>
      <c r="BJ14" s="11">
        <f t="shared" si="8"/>
        <v>0.5</v>
      </c>
      <c r="BK14" s="11">
        <f t="shared" si="9"/>
        <v>0.5</v>
      </c>
      <c r="BL14" s="11">
        <f t="shared" si="10"/>
        <v>0.5416666667</v>
      </c>
      <c r="BM14" s="11">
        <f t="shared" si="11"/>
        <v>0.4285714286</v>
      </c>
      <c r="BN14" s="11">
        <f t="shared" si="12"/>
        <v>0.5714285714</v>
      </c>
      <c r="BO14" s="11">
        <f t="shared" si="13"/>
        <v>0.75</v>
      </c>
      <c r="BP14" s="11">
        <f t="shared" si="14"/>
        <v>0.5</v>
      </c>
      <c r="BQ14" s="11">
        <f t="shared" si="15"/>
        <v>0.6875</v>
      </c>
      <c r="BR14" s="8"/>
    </row>
    <row r="15">
      <c r="A15" s="8" t="s">
        <v>176</v>
      </c>
      <c r="B15" s="8" t="str">
        <f>IFERROR(VLOOKUP(A15,'01_ข้อมูลร้าน'!$A$2:$B$51,2,FALSE),"")</f>
        <v>สวนแววอรุณ</v>
      </c>
      <c r="C15" s="8" t="s">
        <v>114</v>
      </c>
      <c r="D15" s="8"/>
      <c r="E15" s="9">
        <v>4.0</v>
      </c>
      <c r="F15" s="9">
        <v>4.0</v>
      </c>
      <c r="G15" s="9">
        <v>0.0</v>
      </c>
      <c r="H15" s="9">
        <v>4.0</v>
      </c>
      <c r="I15" s="9">
        <v>0.0</v>
      </c>
      <c r="J15" s="9">
        <v>3.0</v>
      </c>
      <c r="K15" s="9">
        <v>3.0</v>
      </c>
      <c r="L15" s="9">
        <v>3.0</v>
      </c>
      <c r="M15" s="9">
        <v>3.0</v>
      </c>
      <c r="N15" s="9">
        <v>2.0</v>
      </c>
      <c r="O15" s="9">
        <v>2.0</v>
      </c>
      <c r="P15" s="9">
        <v>2.0</v>
      </c>
      <c r="Q15" s="9">
        <v>3.0</v>
      </c>
      <c r="R15" s="9">
        <v>3.0</v>
      </c>
      <c r="S15" s="9">
        <v>4.0</v>
      </c>
      <c r="T15" s="9">
        <v>3.0</v>
      </c>
      <c r="U15" s="9">
        <v>3.0</v>
      </c>
      <c r="V15" s="9">
        <v>3.0</v>
      </c>
      <c r="W15" s="9">
        <v>4.0</v>
      </c>
      <c r="X15" s="9">
        <v>1.0</v>
      </c>
      <c r="Y15" s="9">
        <v>2.0</v>
      </c>
      <c r="Z15" s="9">
        <v>2.0</v>
      </c>
      <c r="AA15" s="9">
        <v>3.0</v>
      </c>
      <c r="AB15" s="9">
        <v>2.0</v>
      </c>
      <c r="AC15" s="9">
        <v>3.0</v>
      </c>
      <c r="AD15" s="9">
        <v>2.0</v>
      </c>
      <c r="AE15" s="9">
        <v>3.0</v>
      </c>
      <c r="AF15" s="9">
        <v>3.0</v>
      </c>
      <c r="AG15" s="9">
        <v>2.0</v>
      </c>
      <c r="AH15" s="9">
        <v>3.0</v>
      </c>
      <c r="AI15" s="9">
        <v>3.0</v>
      </c>
      <c r="AJ15" s="9">
        <v>3.0</v>
      </c>
      <c r="AK15" s="9">
        <v>2.0</v>
      </c>
      <c r="AL15" s="9">
        <v>3.0</v>
      </c>
      <c r="AM15" s="9">
        <v>3.0</v>
      </c>
      <c r="AN15" s="9">
        <v>3.0</v>
      </c>
      <c r="AO15" s="9">
        <v>3.0</v>
      </c>
      <c r="AP15" s="9">
        <v>2.0</v>
      </c>
      <c r="AQ15" s="9">
        <v>3.0</v>
      </c>
      <c r="AR15" s="9">
        <v>2.0</v>
      </c>
      <c r="AS15" s="9">
        <v>2.0</v>
      </c>
      <c r="AT15" s="9">
        <v>4.0</v>
      </c>
      <c r="AU15" s="9">
        <v>2.0</v>
      </c>
      <c r="AV15" s="9">
        <v>3.0</v>
      </c>
      <c r="AW15" s="9">
        <v>2.0</v>
      </c>
      <c r="AX15" s="9">
        <v>1.0</v>
      </c>
      <c r="AY15" s="9">
        <v>3.0</v>
      </c>
      <c r="AZ15" s="9">
        <v>3.0</v>
      </c>
      <c r="BA15" s="9">
        <v>3.0</v>
      </c>
      <c r="BB15" s="9">
        <v>2.0</v>
      </c>
      <c r="BC15" s="11">
        <f t="shared" si="4"/>
        <v>1</v>
      </c>
      <c r="BD15" s="8">
        <f t="shared" si="5"/>
        <v>131</v>
      </c>
      <c r="BE15" s="11">
        <f t="shared" si="1"/>
        <v>0.655</v>
      </c>
      <c r="BF15" s="11">
        <f t="shared" si="6"/>
        <v>0.6570535714</v>
      </c>
      <c r="BG15" s="8">
        <f t="shared" si="7"/>
        <v>4</v>
      </c>
      <c r="BH15" s="8" t="str">
        <f t="shared" si="2"/>
        <v>ดี</v>
      </c>
      <c r="BI15" s="8" t="str">
        <f t="shared" si="3"/>
        <v>มิติ 7</v>
      </c>
      <c r="BJ15" s="11">
        <f t="shared" si="8"/>
        <v>0.6428571429</v>
      </c>
      <c r="BK15" s="11">
        <f t="shared" si="9"/>
        <v>0.6428571429</v>
      </c>
      <c r="BL15" s="11">
        <f t="shared" si="10"/>
        <v>0.75</v>
      </c>
      <c r="BM15" s="11">
        <f t="shared" si="11"/>
        <v>0.6071428571</v>
      </c>
      <c r="BN15" s="11">
        <f t="shared" si="12"/>
        <v>0.6785714286</v>
      </c>
      <c r="BO15" s="11">
        <f t="shared" si="13"/>
        <v>0.6428571429</v>
      </c>
      <c r="BP15" s="11">
        <f t="shared" si="14"/>
        <v>0.6</v>
      </c>
      <c r="BQ15" s="11">
        <f t="shared" si="15"/>
        <v>0.6875</v>
      </c>
      <c r="BR15" s="8"/>
    </row>
    <row r="16">
      <c r="A16" s="8" t="s">
        <v>182</v>
      </c>
      <c r="B16" s="8" t="str">
        <f>IFERROR(VLOOKUP(A16,'01_ข้อมูลร้าน'!$A$2:$B$51,2,FALSE),"")</f>
        <v>คุณอี๊ดกะเพราแซ่บจี้ด</v>
      </c>
      <c r="C16" s="8" t="s">
        <v>114</v>
      </c>
      <c r="D16" s="8"/>
      <c r="E16" s="9">
        <v>2.0</v>
      </c>
      <c r="F16" s="9">
        <v>2.0</v>
      </c>
      <c r="G16" s="9">
        <v>3.0</v>
      </c>
      <c r="H16" s="9">
        <v>1.0</v>
      </c>
      <c r="I16" s="9">
        <v>1.0</v>
      </c>
      <c r="J16" s="9">
        <v>1.0</v>
      </c>
      <c r="K16" s="9">
        <v>2.0</v>
      </c>
      <c r="L16" s="9">
        <v>1.0</v>
      </c>
      <c r="M16" s="9">
        <v>1.0</v>
      </c>
      <c r="N16" s="9">
        <v>2.0</v>
      </c>
      <c r="O16" s="9">
        <v>2.0</v>
      </c>
      <c r="P16" s="9">
        <v>3.0</v>
      </c>
      <c r="Q16" s="9">
        <v>2.0</v>
      </c>
      <c r="R16" s="9">
        <v>2.0</v>
      </c>
      <c r="S16" s="9">
        <v>1.0</v>
      </c>
      <c r="T16" s="9">
        <v>1.0</v>
      </c>
      <c r="U16" s="9">
        <v>2.0</v>
      </c>
      <c r="V16" s="9">
        <v>2.0</v>
      </c>
      <c r="W16" s="9">
        <v>1.0</v>
      </c>
      <c r="X16" s="9">
        <v>1.0</v>
      </c>
      <c r="Y16" s="9">
        <v>0.0</v>
      </c>
      <c r="Z16" s="9">
        <v>0.0</v>
      </c>
      <c r="AA16" s="9">
        <v>0.0</v>
      </c>
      <c r="AB16" s="9">
        <v>2.0</v>
      </c>
      <c r="AC16" s="9">
        <v>1.0</v>
      </c>
      <c r="AD16" s="9">
        <v>1.0</v>
      </c>
      <c r="AE16" s="9">
        <v>1.0</v>
      </c>
      <c r="AF16" s="9">
        <v>2.0</v>
      </c>
      <c r="AG16" s="9">
        <v>2.0</v>
      </c>
      <c r="AH16" s="9">
        <v>0.0</v>
      </c>
      <c r="AI16" s="9">
        <v>0.0</v>
      </c>
      <c r="AJ16" s="9">
        <v>2.0</v>
      </c>
      <c r="AK16" s="9">
        <v>2.0</v>
      </c>
      <c r="AL16" s="9">
        <v>4.0</v>
      </c>
      <c r="AM16" s="9">
        <v>1.0</v>
      </c>
      <c r="AN16" s="9">
        <v>2.0</v>
      </c>
      <c r="AO16" s="9">
        <v>3.0</v>
      </c>
      <c r="AP16" s="9">
        <v>2.0</v>
      </c>
      <c r="AQ16" s="9">
        <v>1.0</v>
      </c>
      <c r="AR16" s="9">
        <v>4.0</v>
      </c>
      <c r="AS16" s="9">
        <v>1.0</v>
      </c>
      <c r="AT16" s="9">
        <v>2.0</v>
      </c>
      <c r="AU16" s="9">
        <v>1.0</v>
      </c>
      <c r="AV16" s="9">
        <v>3.0</v>
      </c>
      <c r="AW16" s="9">
        <v>1.0</v>
      </c>
      <c r="AX16" s="9">
        <v>2.0</v>
      </c>
      <c r="AY16" s="9">
        <v>3.0</v>
      </c>
      <c r="AZ16" s="9">
        <v>3.0</v>
      </c>
      <c r="BA16" s="9">
        <v>3.0</v>
      </c>
      <c r="BB16" s="9">
        <v>2.0</v>
      </c>
      <c r="BC16" s="11">
        <f t="shared" si="4"/>
        <v>1</v>
      </c>
      <c r="BD16" s="8">
        <f t="shared" si="5"/>
        <v>84</v>
      </c>
      <c r="BE16" s="11">
        <f t="shared" si="1"/>
        <v>0.42</v>
      </c>
      <c r="BF16" s="11">
        <f t="shared" si="6"/>
        <v>0.4239583333</v>
      </c>
      <c r="BG16" s="8">
        <f t="shared" si="7"/>
        <v>22</v>
      </c>
      <c r="BH16" s="8" t="str">
        <f t="shared" si="2"/>
        <v>เร่งแก้ไข</v>
      </c>
      <c r="BI16" s="8" t="str">
        <f t="shared" si="3"/>
        <v>มิติ 4</v>
      </c>
      <c r="BJ16" s="11">
        <f t="shared" si="8"/>
        <v>0.4285714286</v>
      </c>
      <c r="BK16" s="11">
        <f t="shared" si="9"/>
        <v>0.4642857143</v>
      </c>
      <c r="BL16" s="11">
        <f t="shared" si="10"/>
        <v>0.3333333333</v>
      </c>
      <c r="BM16" s="11">
        <f t="shared" si="11"/>
        <v>0.1785714286</v>
      </c>
      <c r="BN16" s="11">
        <f t="shared" si="12"/>
        <v>0.4285714286</v>
      </c>
      <c r="BO16" s="11">
        <f t="shared" si="13"/>
        <v>0.5</v>
      </c>
      <c r="BP16" s="11">
        <f t="shared" si="14"/>
        <v>0.45</v>
      </c>
      <c r="BQ16" s="11">
        <f t="shared" si="15"/>
        <v>0.6875</v>
      </c>
      <c r="BR16" s="8"/>
    </row>
    <row r="17">
      <c r="A17" s="20" t="s">
        <v>184</v>
      </c>
      <c r="B17" s="20" t="str">
        <f>IFERROR(VLOOKUP(A17,'01_ข้อมูลร้าน'!$A$2:$B$51,2,FALSE),"")</f>
        <v>หมูสะเต๊ะอพอลโล</v>
      </c>
      <c r="C17" s="20" t="s">
        <v>114</v>
      </c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1">
        <f t="shared" si="4"/>
        <v>0</v>
      </c>
      <c r="BD17" s="20">
        <f t="shared" si="5"/>
        <v>0</v>
      </c>
      <c r="BE17" s="21">
        <f t="shared" si="1"/>
        <v>0</v>
      </c>
      <c r="BF17" s="21">
        <f t="shared" si="6"/>
        <v>0</v>
      </c>
      <c r="BG17" s="20">
        <f t="shared" si="7"/>
        <v>0</v>
      </c>
      <c r="BH17" s="20" t="str">
        <f t="shared" si="2"/>
        <v>ยังไม่ประเมิน</v>
      </c>
      <c r="BI17" s="20" t="str">
        <f t="shared" si="3"/>
        <v>ยังไม่ประเมิน</v>
      </c>
      <c r="BJ17" s="21">
        <f t="shared" si="8"/>
        <v>0</v>
      </c>
      <c r="BK17" s="21">
        <f t="shared" si="9"/>
        <v>0</v>
      </c>
      <c r="BL17" s="21">
        <f t="shared" si="10"/>
        <v>0</v>
      </c>
      <c r="BM17" s="21">
        <f t="shared" si="11"/>
        <v>0</v>
      </c>
      <c r="BN17" s="21">
        <f t="shared" si="12"/>
        <v>0</v>
      </c>
      <c r="BO17" s="21">
        <f t="shared" si="13"/>
        <v>0</v>
      </c>
      <c r="BP17" s="21">
        <f t="shared" si="14"/>
        <v>0</v>
      </c>
      <c r="BQ17" s="21">
        <f t="shared" si="15"/>
        <v>0</v>
      </c>
      <c r="BR17" s="20"/>
    </row>
    <row r="18">
      <c r="A18" s="8" t="s">
        <v>190</v>
      </c>
      <c r="B18" s="8" t="str">
        <f>IFERROR(VLOOKUP(A18,'01_ข้อมูลร้าน'!$A$2:$B$51,2,FALSE),"")</f>
        <v>วันวาน คาเฟ่</v>
      </c>
      <c r="C18" s="8" t="s">
        <v>114</v>
      </c>
      <c r="D18" s="8"/>
      <c r="E18" s="9">
        <v>2.0</v>
      </c>
      <c r="F18" s="9">
        <v>1.0</v>
      </c>
      <c r="G18" s="9">
        <v>1.0</v>
      </c>
      <c r="H18" s="9">
        <v>2.0</v>
      </c>
      <c r="I18" s="9">
        <v>1.0</v>
      </c>
      <c r="J18" s="9">
        <v>2.0</v>
      </c>
      <c r="K18" s="9">
        <v>1.0</v>
      </c>
      <c r="L18" s="9">
        <v>3.0</v>
      </c>
      <c r="M18" s="9">
        <v>3.0</v>
      </c>
      <c r="N18" s="9">
        <v>2.0</v>
      </c>
      <c r="O18" s="9">
        <v>1.0</v>
      </c>
      <c r="P18" s="9">
        <v>2.0</v>
      </c>
      <c r="Q18" s="9">
        <v>0.0</v>
      </c>
      <c r="R18" s="9">
        <v>2.0</v>
      </c>
      <c r="S18" s="9">
        <v>3.0</v>
      </c>
      <c r="T18" s="9">
        <v>2.0</v>
      </c>
      <c r="U18" s="9">
        <v>2.0</v>
      </c>
      <c r="V18" s="9">
        <v>0.0</v>
      </c>
      <c r="W18" s="9">
        <v>2.0</v>
      </c>
      <c r="X18" s="9">
        <v>1.0</v>
      </c>
      <c r="Y18" s="9">
        <v>2.0</v>
      </c>
      <c r="Z18" s="9">
        <v>2.0</v>
      </c>
      <c r="AA18" s="9">
        <v>2.0</v>
      </c>
      <c r="AB18" s="9">
        <v>2.0</v>
      </c>
      <c r="AC18" s="9">
        <v>0.0</v>
      </c>
      <c r="AD18" s="9">
        <v>1.0</v>
      </c>
      <c r="AE18" s="9">
        <v>2.0</v>
      </c>
      <c r="AF18" s="9">
        <v>1.0</v>
      </c>
      <c r="AG18" s="9">
        <v>2.0</v>
      </c>
      <c r="AH18" s="9">
        <v>0.0</v>
      </c>
      <c r="AI18" s="9">
        <v>3.0</v>
      </c>
      <c r="AJ18" s="9">
        <v>3.0</v>
      </c>
      <c r="AK18" s="9">
        <v>2.0</v>
      </c>
      <c r="AL18" s="9">
        <v>1.0</v>
      </c>
      <c r="AM18" s="9">
        <v>2.0</v>
      </c>
      <c r="AN18" s="9">
        <v>2.0</v>
      </c>
      <c r="AO18" s="9">
        <v>2.0</v>
      </c>
      <c r="AP18" s="9">
        <v>2.0</v>
      </c>
      <c r="AQ18" s="9">
        <v>3.0</v>
      </c>
      <c r="AR18" s="9">
        <v>2.0</v>
      </c>
      <c r="AS18" s="9">
        <v>3.0</v>
      </c>
      <c r="AT18" s="9">
        <v>2.0</v>
      </c>
      <c r="AU18" s="9">
        <v>1.0</v>
      </c>
      <c r="AV18" s="9">
        <v>1.0</v>
      </c>
      <c r="AW18" s="9">
        <v>0.0</v>
      </c>
      <c r="AX18" s="9">
        <v>0.0</v>
      </c>
      <c r="AY18" s="9">
        <v>2.0</v>
      </c>
      <c r="AZ18" s="9">
        <v>2.0</v>
      </c>
      <c r="BA18" s="9">
        <v>2.0</v>
      </c>
      <c r="BB18" s="9">
        <v>2.0</v>
      </c>
      <c r="BC18" s="11">
        <f t="shared" si="4"/>
        <v>1</v>
      </c>
      <c r="BD18" s="8">
        <f t="shared" si="5"/>
        <v>84</v>
      </c>
      <c r="BE18" s="11">
        <f t="shared" si="1"/>
        <v>0.42</v>
      </c>
      <c r="BF18" s="11">
        <f t="shared" si="6"/>
        <v>0.4388095238</v>
      </c>
      <c r="BG18" s="8">
        <f t="shared" si="7"/>
        <v>17</v>
      </c>
      <c r="BH18" s="8" t="str">
        <f t="shared" si="2"/>
        <v>เร่งแก้ไข</v>
      </c>
      <c r="BI18" s="8" t="str">
        <f t="shared" si="3"/>
        <v>มิติ 7</v>
      </c>
      <c r="BJ18" s="11">
        <f t="shared" si="8"/>
        <v>0.3571428571</v>
      </c>
      <c r="BK18" s="11">
        <f t="shared" si="9"/>
        <v>0.4642857143</v>
      </c>
      <c r="BL18" s="11">
        <f t="shared" si="10"/>
        <v>0.4166666667</v>
      </c>
      <c r="BM18" s="11">
        <f t="shared" si="11"/>
        <v>0.3928571429</v>
      </c>
      <c r="BN18" s="11">
        <f t="shared" si="12"/>
        <v>0.4285714286</v>
      </c>
      <c r="BO18" s="11">
        <f t="shared" si="13"/>
        <v>0.5714285714</v>
      </c>
      <c r="BP18" s="11">
        <f t="shared" si="14"/>
        <v>0.2</v>
      </c>
      <c r="BQ18" s="11">
        <f t="shared" si="15"/>
        <v>0.5</v>
      </c>
      <c r="BR18" s="8"/>
    </row>
    <row r="19">
      <c r="A19" s="8" t="s">
        <v>196</v>
      </c>
      <c r="B19" s="8" t="str">
        <f>IFERROR(VLOOKUP(A19,'01_ข้อมูลร้าน'!$A$2:$B$51,2,FALSE),"")</f>
        <v>อิ่มอุ่น ณ พัทยา</v>
      </c>
      <c r="C19" s="8" t="s">
        <v>114</v>
      </c>
      <c r="D19" s="8"/>
      <c r="E19" s="9">
        <v>2.0</v>
      </c>
      <c r="F19" s="9">
        <v>2.0</v>
      </c>
      <c r="G19" s="9">
        <v>2.0</v>
      </c>
      <c r="H19" s="9">
        <v>3.0</v>
      </c>
      <c r="I19" s="9">
        <v>2.0</v>
      </c>
      <c r="J19" s="9">
        <v>2.0</v>
      </c>
      <c r="K19" s="9">
        <v>2.0</v>
      </c>
      <c r="L19" s="9">
        <v>4.0</v>
      </c>
      <c r="M19" s="9">
        <v>2.0</v>
      </c>
      <c r="N19" s="9">
        <v>1.0</v>
      </c>
      <c r="O19" s="9">
        <v>2.0</v>
      </c>
      <c r="P19" s="9">
        <v>2.0</v>
      </c>
      <c r="Q19" s="9">
        <v>3.0</v>
      </c>
      <c r="R19" s="9">
        <v>2.0</v>
      </c>
      <c r="S19" s="9">
        <v>3.0</v>
      </c>
      <c r="T19" s="9">
        <v>3.0</v>
      </c>
      <c r="U19" s="9">
        <v>2.0</v>
      </c>
      <c r="V19" s="9">
        <v>2.0</v>
      </c>
      <c r="W19" s="9">
        <v>3.0</v>
      </c>
      <c r="X19" s="9">
        <v>1.0</v>
      </c>
      <c r="Y19" s="9">
        <v>3.0</v>
      </c>
      <c r="Z19" s="9">
        <v>2.0</v>
      </c>
      <c r="AA19" s="9">
        <v>3.0</v>
      </c>
      <c r="AB19" s="9">
        <v>2.0</v>
      </c>
      <c r="AC19" s="9">
        <v>2.0</v>
      </c>
      <c r="AD19" s="9">
        <v>0.0</v>
      </c>
      <c r="AE19" s="9">
        <v>3.0</v>
      </c>
      <c r="AF19" s="9">
        <v>2.0</v>
      </c>
      <c r="AG19" s="9">
        <v>2.0</v>
      </c>
      <c r="AH19" s="9">
        <v>3.0</v>
      </c>
      <c r="AI19" s="9">
        <v>3.0</v>
      </c>
      <c r="AJ19" s="9">
        <v>3.0</v>
      </c>
      <c r="AK19" s="9">
        <v>3.0</v>
      </c>
      <c r="AL19" s="9">
        <v>3.0</v>
      </c>
      <c r="AM19" s="9">
        <v>3.0</v>
      </c>
      <c r="AN19" s="9">
        <v>2.0</v>
      </c>
      <c r="AO19" s="9">
        <v>3.0</v>
      </c>
      <c r="AP19" s="9">
        <v>2.0</v>
      </c>
      <c r="AQ19" s="9">
        <v>1.0</v>
      </c>
      <c r="AR19" s="9">
        <v>2.0</v>
      </c>
      <c r="AS19" s="9">
        <v>3.0</v>
      </c>
      <c r="AT19" s="9">
        <v>2.0</v>
      </c>
      <c r="AU19" s="9">
        <v>3.0</v>
      </c>
      <c r="AV19" s="9">
        <v>2.0</v>
      </c>
      <c r="AW19" s="9">
        <v>2.0</v>
      </c>
      <c r="AX19" s="9">
        <v>0.0</v>
      </c>
      <c r="AY19" s="9">
        <v>3.0</v>
      </c>
      <c r="AZ19" s="9">
        <v>0.0</v>
      </c>
      <c r="BA19" s="9">
        <v>0.0</v>
      </c>
      <c r="BB19" s="9">
        <v>2.0</v>
      </c>
      <c r="BC19" s="11">
        <f t="shared" si="4"/>
        <v>1</v>
      </c>
      <c r="BD19" s="8">
        <f t="shared" si="5"/>
        <v>109</v>
      </c>
      <c r="BE19" s="11">
        <f t="shared" si="1"/>
        <v>0.545</v>
      </c>
      <c r="BF19" s="11">
        <f t="shared" si="6"/>
        <v>0.560922619</v>
      </c>
      <c r="BG19" s="8">
        <f t="shared" si="7"/>
        <v>7</v>
      </c>
      <c r="BH19" s="8" t="str">
        <f t="shared" si="2"/>
        <v>ต้องพัฒนา</v>
      </c>
      <c r="BI19" s="8" t="str">
        <f t="shared" si="3"/>
        <v>มิติ 8</v>
      </c>
      <c r="BJ19" s="11">
        <f t="shared" si="8"/>
        <v>0.5357142857</v>
      </c>
      <c r="BK19" s="11">
        <f t="shared" si="9"/>
        <v>0.5714285714</v>
      </c>
      <c r="BL19" s="11">
        <f t="shared" si="10"/>
        <v>0.5833333333</v>
      </c>
      <c r="BM19" s="11">
        <f t="shared" si="11"/>
        <v>0.5357142857</v>
      </c>
      <c r="BN19" s="11">
        <f t="shared" si="12"/>
        <v>0.6785714286</v>
      </c>
      <c r="BO19" s="11">
        <f t="shared" si="13"/>
        <v>0.5714285714</v>
      </c>
      <c r="BP19" s="11">
        <f t="shared" si="14"/>
        <v>0.45</v>
      </c>
      <c r="BQ19" s="11">
        <f t="shared" si="15"/>
        <v>0.3125</v>
      </c>
      <c r="BR19" s="8"/>
    </row>
    <row r="20">
      <c r="A20" s="8" t="s">
        <v>204</v>
      </c>
      <c r="B20" s="8" t="str">
        <f>IFERROR(VLOOKUP(A20,'01_ข้อมูลร้าน'!$A$2:$B$51,2,FALSE),"")</f>
        <v>ร้านอาหารบ่อทองบุรี</v>
      </c>
      <c r="C20" s="8" t="s">
        <v>114</v>
      </c>
      <c r="D20" s="8"/>
      <c r="E20" s="9">
        <v>4.0</v>
      </c>
      <c r="F20" s="9">
        <v>2.0</v>
      </c>
      <c r="G20" s="9">
        <v>3.0</v>
      </c>
      <c r="H20" s="9">
        <v>1.0</v>
      </c>
      <c r="I20" s="9">
        <v>3.0</v>
      </c>
      <c r="J20" s="9">
        <v>3.0</v>
      </c>
      <c r="K20" s="9">
        <v>2.0</v>
      </c>
      <c r="L20" s="9">
        <v>4.0</v>
      </c>
      <c r="M20" s="9">
        <v>4.0</v>
      </c>
      <c r="N20" s="9">
        <v>4.0</v>
      </c>
      <c r="O20" s="9">
        <v>4.0</v>
      </c>
      <c r="P20" s="9">
        <v>4.0</v>
      </c>
      <c r="Q20" s="9">
        <v>4.0</v>
      </c>
      <c r="R20" s="9">
        <v>3.0</v>
      </c>
      <c r="S20" s="9">
        <v>3.0</v>
      </c>
      <c r="T20" s="9">
        <v>3.0</v>
      </c>
      <c r="U20" s="9">
        <v>3.0</v>
      </c>
      <c r="V20" s="9">
        <v>2.0</v>
      </c>
      <c r="W20" s="9">
        <v>3.0</v>
      </c>
      <c r="X20" s="9">
        <v>3.0</v>
      </c>
      <c r="Y20" s="9">
        <v>3.0</v>
      </c>
      <c r="Z20" s="9">
        <v>3.0</v>
      </c>
      <c r="AA20" s="9">
        <v>3.0</v>
      </c>
      <c r="AB20" s="9">
        <v>2.0</v>
      </c>
      <c r="AC20" s="9">
        <v>3.0</v>
      </c>
      <c r="AD20" s="9">
        <v>2.0</v>
      </c>
      <c r="AE20" s="9">
        <v>3.0</v>
      </c>
      <c r="AF20" s="9">
        <v>1.0</v>
      </c>
      <c r="AG20" s="9">
        <v>1.0</v>
      </c>
      <c r="AH20" s="9">
        <v>2.0</v>
      </c>
      <c r="AI20" s="9">
        <v>4.0</v>
      </c>
      <c r="AJ20" s="9">
        <v>4.0</v>
      </c>
      <c r="AK20" s="9">
        <v>3.0</v>
      </c>
      <c r="AL20" s="9">
        <v>4.0</v>
      </c>
      <c r="AM20" s="9">
        <v>4.0</v>
      </c>
      <c r="AN20" s="9">
        <v>4.0</v>
      </c>
      <c r="AO20" s="9">
        <v>4.0</v>
      </c>
      <c r="AP20" s="9">
        <v>4.0</v>
      </c>
      <c r="AQ20" s="9">
        <v>4.0</v>
      </c>
      <c r="AR20" s="9">
        <v>3.0</v>
      </c>
      <c r="AS20" s="9">
        <v>3.0</v>
      </c>
      <c r="AT20" s="9">
        <v>3.0</v>
      </c>
      <c r="AU20" s="9">
        <v>4.0</v>
      </c>
      <c r="AV20" s="9">
        <v>3.0</v>
      </c>
      <c r="AW20" s="9">
        <v>3.0</v>
      </c>
      <c r="AX20" s="9">
        <v>2.0</v>
      </c>
      <c r="AY20" s="9">
        <v>3.0</v>
      </c>
      <c r="AZ20" s="9">
        <v>3.0</v>
      </c>
      <c r="BA20" s="9">
        <v>3.0</v>
      </c>
      <c r="BB20" s="9">
        <v>2.0</v>
      </c>
      <c r="BC20" s="11">
        <f t="shared" si="4"/>
        <v>1</v>
      </c>
      <c r="BD20" s="8">
        <f t="shared" si="5"/>
        <v>152</v>
      </c>
      <c r="BE20" s="11">
        <f t="shared" si="1"/>
        <v>0.76</v>
      </c>
      <c r="BF20" s="11">
        <f t="shared" si="6"/>
        <v>0.7693154762</v>
      </c>
      <c r="BG20" s="8">
        <f t="shared" si="7"/>
        <v>3</v>
      </c>
      <c r="BH20" s="8" t="str">
        <f t="shared" si="2"/>
        <v>ดี</v>
      </c>
      <c r="BI20" s="8" t="str">
        <f t="shared" si="3"/>
        <v>มิติ 1</v>
      </c>
      <c r="BJ20" s="11">
        <f t="shared" si="8"/>
        <v>0.6428571429</v>
      </c>
      <c r="BK20" s="11">
        <f t="shared" si="9"/>
        <v>0.9642857143</v>
      </c>
      <c r="BL20" s="11">
        <f t="shared" si="10"/>
        <v>0.7083333333</v>
      </c>
      <c r="BM20" s="11">
        <f t="shared" si="11"/>
        <v>0.6785714286</v>
      </c>
      <c r="BN20" s="11">
        <f t="shared" si="12"/>
        <v>0.6785714286</v>
      </c>
      <c r="BO20" s="11">
        <f t="shared" si="13"/>
        <v>0.9285714286</v>
      </c>
      <c r="BP20" s="11">
        <f t="shared" si="14"/>
        <v>0.75</v>
      </c>
      <c r="BQ20" s="11">
        <f t="shared" si="15"/>
        <v>0.6875</v>
      </c>
      <c r="BR20" s="8"/>
    </row>
    <row r="21" ht="15.75" customHeight="1">
      <c r="A21" s="8" t="s">
        <v>213</v>
      </c>
      <c r="B21" s="8" t="str">
        <f>IFERROR(VLOOKUP(A21,'01_ข้อมูลร้าน'!$A$2:$B$51,2,FALSE),"")</f>
        <v>ผัดไทยคาเฟ่แม่วรรณา</v>
      </c>
      <c r="C21" s="8" t="s">
        <v>114</v>
      </c>
      <c r="D21" s="8"/>
      <c r="E21" s="9">
        <v>3.0</v>
      </c>
      <c r="F21" s="9">
        <v>4.0</v>
      </c>
      <c r="G21" s="9">
        <v>4.0</v>
      </c>
      <c r="H21" s="9">
        <v>2.0</v>
      </c>
      <c r="I21" s="9">
        <v>2.0</v>
      </c>
      <c r="J21" s="9">
        <v>2.0</v>
      </c>
      <c r="K21" s="9">
        <v>2.0</v>
      </c>
      <c r="L21" s="9">
        <v>3.0</v>
      </c>
      <c r="M21" s="9">
        <v>3.0</v>
      </c>
      <c r="N21" s="9">
        <v>2.0</v>
      </c>
      <c r="O21" s="9">
        <v>2.0</v>
      </c>
      <c r="P21" s="9">
        <v>3.0</v>
      </c>
      <c r="Q21" s="9">
        <v>3.0</v>
      </c>
      <c r="R21" s="9">
        <v>3.0</v>
      </c>
      <c r="S21" s="9">
        <v>4.0</v>
      </c>
      <c r="T21" s="9">
        <v>0.0</v>
      </c>
      <c r="U21" s="9">
        <v>2.0</v>
      </c>
      <c r="V21" s="9">
        <v>2.0</v>
      </c>
      <c r="W21" s="9">
        <v>2.0</v>
      </c>
      <c r="X21" s="9">
        <v>1.0</v>
      </c>
      <c r="Y21" s="9">
        <v>3.0</v>
      </c>
      <c r="Z21" s="9">
        <v>2.0</v>
      </c>
      <c r="AA21" s="9">
        <v>3.0</v>
      </c>
      <c r="AB21" s="9">
        <v>2.0</v>
      </c>
      <c r="AC21" s="9">
        <v>1.0</v>
      </c>
      <c r="AD21" s="9">
        <v>2.0</v>
      </c>
      <c r="AE21" s="9">
        <v>2.0</v>
      </c>
      <c r="AF21" s="9">
        <v>0.0</v>
      </c>
      <c r="AG21" s="9">
        <v>1.0</v>
      </c>
      <c r="AH21" s="9">
        <v>0.0</v>
      </c>
      <c r="AI21" s="9">
        <v>3.0</v>
      </c>
      <c r="AJ21" s="9">
        <v>3.0</v>
      </c>
      <c r="AK21" s="9">
        <v>2.0</v>
      </c>
      <c r="AL21" s="9">
        <v>2.0</v>
      </c>
      <c r="AM21" s="9">
        <v>3.0</v>
      </c>
      <c r="AN21" s="9">
        <v>3.0</v>
      </c>
      <c r="AO21" s="9">
        <v>3.0</v>
      </c>
      <c r="AP21" s="9">
        <v>2.0</v>
      </c>
      <c r="AQ21" s="9">
        <v>2.0</v>
      </c>
      <c r="AR21" s="9">
        <v>3.0</v>
      </c>
      <c r="AS21" s="9">
        <v>3.0</v>
      </c>
      <c r="AT21" s="9">
        <v>3.0</v>
      </c>
      <c r="AU21" s="9">
        <v>3.0</v>
      </c>
      <c r="AV21" s="9">
        <v>2.0</v>
      </c>
      <c r="AW21" s="9">
        <v>0.0</v>
      </c>
      <c r="AX21" s="9">
        <v>0.0</v>
      </c>
      <c r="AY21" s="9">
        <v>2.0</v>
      </c>
      <c r="AZ21" s="9">
        <v>3.0</v>
      </c>
      <c r="BA21" s="9">
        <v>3.0</v>
      </c>
      <c r="BB21" s="9">
        <v>2.0</v>
      </c>
      <c r="BC21" s="11">
        <f t="shared" si="4"/>
        <v>1</v>
      </c>
      <c r="BD21" s="8">
        <f t="shared" si="5"/>
        <v>112</v>
      </c>
      <c r="BE21" s="11">
        <f t="shared" si="1"/>
        <v>0.56</v>
      </c>
      <c r="BF21" s="11">
        <f t="shared" si="6"/>
        <v>0.5631547619</v>
      </c>
      <c r="BG21" s="8">
        <f t="shared" si="7"/>
        <v>8</v>
      </c>
      <c r="BH21" s="8" t="str">
        <f t="shared" si="2"/>
        <v>ต้องพัฒนา</v>
      </c>
      <c r="BI21" s="8" t="str">
        <f t="shared" si="3"/>
        <v>มิติ 5</v>
      </c>
      <c r="BJ21" s="11">
        <f t="shared" si="8"/>
        <v>0.6785714286</v>
      </c>
      <c r="BK21" s="11">
        <f t="shared" si="9"/>
        <v>0.6785714286</v>
      </c>
      <c r="BL21" s="11">
        <f t="shared" si="10"/>
        <v>0.4583333333</v>
      </c>
      <c r="BM21" s="11">
        <f t="shared" si="11"/>
        <v>0.5357142857</v>
      </c>
      <c r="BN21" s="11">
        <f t="shared" si="12"/>
        <v>0.3928571429</v>
      </c>
      <c r="BO21" s="11">
        <f t="shared" si="13"/>
        <v>0.6785714286</v>
      </c>
      <c r="BP21" s="11">
        <f t="shared" si="14"/>
        <v>0.4</v>
      </c>
      <c r="BQ21" s="11">
        <f t="shared" si="15"/>
        <v>0.625</v>
      </c>
      <c r="BR21" s="8"/>
    </row>
    <row r="22" ht="15.75" customHeight="1">
      <c r="A22" s="8" t="s">
        <v>224</v>
      </c>
      <c r="B22" s="8" t="str">
        <f>IFERROR(VLOOKUP(A22,'01_ข้อมูลร้าน'!$A$2:$B$51,2,FALSE),"")</f>
        <v>Recharge Cafa</v>
      </c>
      <c r="C22" s="8" t="s">
        <v>114</v>
      </c>
      <c r="D22" s="8"/>
      <c r="E22" s="9">
        <v>2.0</v>
      </c>
      <c r="F22" s="9">
        <v>2.0</v>
      </c>
      <c r="G22" s="9">
        <v>2.0</v>
      </c>
      <c r="H22" s="9">
        <v>0.0</v>
      </c>
      <c r="I22" s="9">
        <v>1.0</v>
      </c>
      <c r="J22" s="9">
        <v>2.0</v>
      </c>
      <c r="K22" s="9">
        <v>1.0</v>
      </c>
      <c r="L22" s="9">
        <v>3.0</v>
      </c>
      <c r="M22" s="9">
        <v>3.0</v>
      </c>
      <c r="N22" s="9">
        <v>1.0</v>
      </c>
      <c r="O22" s="9">
        <v>1.0</v>
      </c>
      <c r="P22" s="9">
        <v>2.0</v>
      </c>
      <c r="Q22" s="9">
        <v>1.0</v>
      </c>
      <c r="R22" s="9">
        <v>2.0</v>
      </c>
      <c r="S22" s="9">
        <v>0.0</v>
      </c>
      <c r="T22" s="9">
        <v>2.0</v>
      </c>
      <c r="U22" s="9">
        <v>2.0</v>
      </c>
      <c r="V22" s="9">
        <v>2.0</v>
      </c>
      <c r="W22" s="9">
        <v>2.0</v>
      </c>
      <c r="X22" s="9">
        <v>1.0</v>
      </c>
      <c r="Y22" s="9">
        <v>1.0</v>
      </c>
      <c r="Z22" s="9">
        <v>2.0</v>
      </c>
      <c r="AA22" s="9">
        <v>2.0</v>
      </c>
      <c r="AB22" s="9">
        <v>1.0</v>
      </c>
      <c r="AC22" s="9">
        <v>2.0</v>
      </c>
      <c r="AD22" s="9">
        <v>2.0</v>
      </c>
      <c r="AE22" s="9">
        <v>2.0</v>
      </c>
      <c r="AF22" s="9">
        <v>2.0</v>
      </c>
      <c r="AG22" s="9">
        <v>1.0</v>
      </c>
      <c r="AH22" s="9">
        <v>3.0</v>
      </c>
      <c r="AI22" s="9">
        <v>2.0</v>
      </c>
      <c r="AJ22" s="9">
        <v>2.0</v>
      </c>
      <c r="AK22" s="9">
        <v>2.0</v>
      </c>
      <c r="AL22" s="9">
        <v>2.0</v>
      </c>
      <c r="AM22" s="9">
        <v>2.0</v>
      </c>
      <c r="AN22" s="9">
        <v>2.0</v>
      </c>
      <c r="AO22" s="9">
        <v>3.0</v>
      </c>
      <c r="AP22" s="9">
        <v>2.0</v>
      </c>
      <c r="AQ22" s="9">
        <v>2.0</v>
      </c>
      <c r="AR22" s="9">
        <v>3.0</v>
      </c>
      <c r="AS22" s="9">
        <v>2.0</v>
      </c>
      <c r="AT22" s="9">
        <v>1.0</v>
      </c>
      <c r="AU22" s="9">
        <v>1.0</v>
      </c>
      <c r="AV22" s="9">
        <v>2.0</v>
      </c>
      <c r="AW22" s="9">
        <v>0.0</v>
      </c>
      <c r="AX22" s="9">
        <v>0.0</v>
      </c>
      <c r="AY22" s="9">
        <v>3.0</v>
      </c>
      <c r="AZ22" s="9">
        <v>3.0</v>
      </c>
      <c r="BA22" s="9">
        <v>2.0</v>
      </c>
      <c r="BB22" s="9">
        <v>1.0</v>
      </c>
      <c r="BC22" s="11">
        <f t="shared" si="4"/>
        <v>1</v>
      </c>
      <c r="BD22" s="8">
        <f t="shared" si="5"/>
        <v>87</v>
      </c>
      <c r="BE22" s="11">
        <f t="shared" si="1"/>
        <v>0.435</v>
      </c>
      <c r="BF22" s="11">
        <f t="shared" si="6"/>
        <v>0.4579464286</v>
      </c>
      <c r="BG22" s="8">
        <f t="shared" si="7"/>
        <v>16</v>
      </c>
      <c r="BH22" s="8" t="str">
        <f t="shared" si="2"/>
        <v>เร่งแก้ไข</v>
      </c>
      <c r="BI22" s="8" t="str">
        <f t="shared" si="3"/>
        <v>มิติ 7</v>
      </c>
      <c r="BJ22" s="11">
        <f t="shared" si="8"/>
        <v>0.3571428571</v>
      </c>
      <c r="BK22" s="11">
        <f t="shared" si="9"/>
        <v>0.4642857143</v>
      </c>
      <c r="BL22" s="11">
        <f t="shared" si="10"/>
        <v>0.375</v>
      </c>
      <c r="BM22" s="11">
        <f t="shared" si="11"/>
        <v>0.4285714286</v>
      </c>
      <c r="BN22" s="11">
        <f t="shared" si="12"/>
        <v>0.5</v>
      </c>
      <c r="BO22" s="11">
        <f t="shared" si="13"/>
        <v>0.5714285714</v>
      </c>
      <c r="BP22" s="11">
        <f t="shared" si="14"/>
        <v>0.2</v>
      </c>
      <c r="BQ22" s="11">
        <f t="shared" si="15"/>
        <v>0.5625</v>
      </c>
      <c r="BR22" s="8"/>
    </row>
    <row r="23" ht="15.75" customHeight="1">
      <c r="A23" s="8" t="s">
        <v>229</v>
      </c>
      <c r="B23" s="8" t="str">
        <f>IFERROR(VLOOKUP(A23,'01_ข้อมูลร้าน'!$A$2:$B$51,2,FALSE),"")</f>
        <v>หมึกสดริมเล</v>
      </c>
      <c r="C23" s="8" t="s">
        <v>114</v>
      </c>
      <c r="D23" s="8"/>
      <c r="E23" s="9">
        <v>4.0</v>
      </c>
      <c r="F23" s="9">
        <v>4.0</v>
      </c>
      <c r="G23" s="9">
        <v>3.0</v>
      </c>
      <c r="H23" s="9">
        <v>3.0</v>
      </c>
      <c r="I23" s="9">
        <v>3.0</v>
      </c>
      <c r="J23" s="9">
        <v>4.0</v>
      </c>
      <c r="K23" s="9">
        <v>4.0</v>
      </c>
      <c r="L23" s="9">
        <v>2.0</v>
      </c>
      <c r="M23" s="9">
        <v>3.0</v>
      </c>
      <c r="N23" s="9">
        <v>4.0</v>
      </c>
      <c r="O23" s="9">
        <v>4.0</v>
      </c>
      <c r="P23" s="9">
        <v>4.0</v>
      </c>
      <c r="Q23" s="9">
        <v>4.0</v>
      </c>
      <c r="R23" s="9">
        <v>2.0</v>
      </c>
      <c r="S23" s="9">
        <v>4.0</v>
      </c>
      <c r="T23" s="9">
        <v>4.0</v>
      </c>
      <c r="U23" s="9">
        <v>4.0</v>
      </c>
      <c r="V23" s="9">
        <v>4.0</v>
      </c>
      <c r="W23" s="9">
        <v>4.0</v>
      </c>
      <c r="X23" s="9">
        <v>4.0</v>
      </c>
      <c r="Y23" s="9">
        <v>4.0</v>
      </c>
      <c r="Z23" s="9">
        <v>4.0</v>
      </c>
      <c r="AA23" s="9">
        <v>4.0</v>
      </c>
      <c r="AB23" s="9">
        <v>4.0</v>
      </c>
      <c r="AC23" s="9">
        <v>4.0</v>
      </c>
      <c r="AD23" s="9">
        <v>4.0</v>
      </c>
      <c r="AE23" s="9">
        <v>4.0</v>
      </c>
      <c r="AF23" s="9">
        <v>4.0</v>
      </c>
      <c r="AG23" s="9">
        <v>4.0</v>
      </c>
      <c r="AH23" s="9">
        <v>4.0</v>
      </c>
      <c r="AI23" s="9">
        <v>4.0</v>
      </c>
      <c r="AJ23" s="9">
        <v>4.0</v>
      </c>
      <c r="AK23" s="9">
        <v>4.0</v>
      </c>
      <c r="AL23" s="9">
        <v>4.0</v>
      </c>
      <c r="AM23" s="9">
        <v>4.0</v>
      </c>
      <c r="AN23" s="9">
        <v>4.0</v>
      </c>
      <c r="AO23" s="9">
        <v>3.0</v>
      </c>
      <c r="AP23" s="9">
        <v>4.0</v>
      </c>
      <c r="AQ23" s="9">
        <v>3.0</v>
      </c>
      <c r="AR23" s="9">
        <v>4.0</v>
      </c>
      <c r="AS23" s="9">
        <v>4.0</v>
      </c>
      <c r="AT23" s="9">
        <v>4.0</v>
      </c>
      <c r="AU23" s="9">
        <v>4.0</v>
      </c>
      <c r="AV23" s="9">
        <v>3.0</v>
      </c>
      <c r="AW23" s="9">
        <v>1.0</v>
      </c>
      <c r="AX23" s="9">
        <v>1.0</v>
      </c>
      <c r="AY23" s="9">
        <v>4.0</v>
      </c>
      <c r="AZ23" s="9">
        <v>4.0</v>
      </c>
      <c r="BA23" s="9">
        <v>4.0</v>
      </c>
      <c r="BB23" s="9">
        <v>3.0</v>
      </c>
      <c r="BC23" s="11">
        <f t="shared" si="4"/>
        <v>1</v>
      </c>
      <c r="BD23" s="8">
        <f t="shared" si="5"/>
        <v>182</v>
      </c>
      <c r="BE23" s="11">
        <f t="shared" si="1"/>
        <v>0.91</v>
      </c>
      <c r="BF23" s="11">
        <f t="shared" si="6"/>
        <v>0.925625</v>
      </c>
      <c r="BG23" s="8">
        <f t="shared" si="7"/>
        <v>2</v>
      </c>
      <c r="BH23" s="8" t="str">
        <f t="shared" si="2"/>
        <v>ดีมาก</v>
      </c>
      <c r="BI23" s="8" t="str">
        <f t="shared" si="3"/>
        <v>มิติ 7</v>
      </c>
      <c r="BJ23" s="11">
        <f t="shared" si="8"/>
        <v>0.8928571429</v>
      </c>
      <c r="BK23" s="11">
        <f t="shared" si="9"/>
        <v>0.8214285714</v>
      </c>
      <c r="BL23" s="11">
        <f t="shared" si="10"/>
        <v>1</v>
      </c>
      <c r="BM23" s="11">
        <f t="shared" si="11"/>
        <v>1</v>
      </c>
      <c r="BN23" s="11">
        <f t="shared" si="12"/>
        <v>1</v>
      </c>
      <c r="BO23" s="11">
        <f t="shared" si="13"/>
        <v>0.9285714286</v>
      </c>
      <c r="BP23" s="11">
        <f t="shared" si="14"/>
        <v>0.65</v>
      </c>
      <c r="BQ23" s="11">
        <f t="shared" si="15"/>
        <v>0.9375</v>
      </c>
      <c r="BR23" s="8"/>
    </row>
    <row r="24" ht="15.75" customHeight="1">
      <c r="A24" s="8" t="s">
        <v>236</v>
      </c>
      <c r="B24" s="8" t="str">
        <f>IFERROR(VLOOKUP(A24,'01_ข้อมูลร้าน'!$A$2:$B$51,2,FALSE),"")</f>
        <v>บ้านแมะคาเฟ่</v>
      </c>
      <c r="C24" s="8" t="s">
        <v>114</v>
      </c>
      <c r="D24" s="8"/>
      <c r="E24" s="9">
        <v>3.0</v>
      </c>
      <c r="F24" s="9">
        <v>4.0</v>
      </c>
      <c r="G24" s="9">
        <v>4.0</v>
      </c>
      <c r="H24" s="9">
        <v>4.0</v>
      </c>
      <c r="I24" s="9">
        <v>4.0</v>
      </c>
      <c r="J24" s="9">
        <v>3.0</v>
      </c>
      <c r="K24" s="9">
        <v>2.0</v>
      </c>
      <c r="L24" s="9">
        <v>3.0</v>
      </c>
      <c r="M24" s="9">
        <v>3.0</v>
      </c>
      <c r="N24" s="9">
        <v>3.0</v>
      </c>
      <c r="O24" s="9">
        <v>1.0</v>
      </c>
      <c r="P24" s="9">
        <v>2.0</v>
      </c>
      <c r="Q24" s="9">
        <v>2.0</v>
      </c>
      <c r="R24" s="9">
        <v>1.0</v>
      </c>
      <c r="S24" s="9">
        <v>2.0</v>
      </c>
      <c r="T24" s="9">
        <v>3.0</v>
      </c>
      <c r="U24" s="9">
        <v>2.0</v>
      </c>
      <c r="V24" s="9">
        <v>3.0</v>
      </c>
      <c r="W24" s="9">
        <v>3.0</v>
      </c>
      <c r="X24" s="9">
        <v>3.0</v>
      </c>
      <c r="Y24" s="9">
        <v>4.0</v>
      </c>
      <c r="Z24" s="9">
        <v>4.0</v>
      </c>
      <c r="AA24" s="9">
        <v>4.0</v>
      </c>
      <c r="AB24" s="9">
        <v>3.0</v>
      </c>
      <c r="AC24" s="9">
        <v>1.0</v>
      </c>
      <c r="AD24" s="9">
        <v>4.0</v>
      </c>
      <c r="AE24" s="9">
        <v>4.0</v>
      </c>
      <c r="AF24" s="9">
        <v>3.0</v>
      </c>
      <c r="AG24" s="9">
        <v>4.0</v>
      </c>
      <c r="AH24" s="9">
        <v>4.0</v>
      </c>
      <c r="AI24" s="9">
        <v>4.0</v>
      </c>
      <c r="AJ24" s="9">
        <v>4.0</v>
      </c>
      <c r="AK24" s="9">
        <v>3.0</v>
      </c>
      <c r="AL24" s="9">
        <v>2.0</v>
      </c>
      <c r="AM24" s="9">
        <v>3.0</v>
      </c>
      <c r="AN24" s="9">
        <v>4.0</v>
      </c>
      <c r="AO24" s="9">
        <v>4.0</v>
      </c>
      <c r="AP24" s="9">
        <v>3.0</v>
      </c>
      <c r="AQ24" s="9">
        <v>4.0</v>
      </c>
      <c r="AR24" s="9">
        <v>3.0</v>
      </c>
      <c r="AS24" s="9">
        <v>3.0</v>
      </c>
      <c r="AT24" s="9">
        <v>3.0</v>
      </c>
      <c r="AU24" s="9">
        <v>4.0</v>
      </c>
      <c r="AV24" s="9">
        <v>4.0</v>
      </c>
      <c r="AW24" s="9">
        <v>4.0</v>
      </c>
      <c r="AX24" s="9">
        <v>4.0</v>
      </c>
      <c r="AY24" s="9">
        <v>3.0</v>
      </c>
      <c r="AZ24" s="9">
        <v>4.0</v>
      </c>
      <c r="BA24" s="9">
        <v>4.0</v>
      </c>
      <c r="BB24" s="9">
        <v>3.0</v>
      </c>
      <c r="BC24" s="11">
        <f t="shared" si="4"/>
        <v>1</v>
      </c>
      <c r="BD24" s="8">
        <f t="shared" si="5"/>
        <v>160</v>
      </c>
      <c r="BE24" s="11">
        <f t="shared" si="1"/>
        <v>0.8</v>
      </c>
      <c r="BF24" s="11">
        <f t="shared" si="6"/>
        <v>0.7957738095</v>
      </c>
      <c r="BG24" s="8">
        <f t="shared" si="7"/>
        <v>3</v>
      </c>
      <c r="BH24" s="8" t="str">
        <f t="shared" si="2"/>
        <v>ดี</v>
      </c>
      <c r="BI24" s="8" t="str">
        <f t="shared" si="3"/>
        <v>มิติ 2</v>
      </c>
      <c r="BJ24" s="11">
        <f t="shared" si="8"/>
        <v>0.8571428571</v>
      </c>
      <c r="BK24" s="11">
        <f t="shared" si="9"/>
        <v>0.5357142857</v>
      </c>
      <c r="BL24" s="11">
        <f t="shared" si="10"/>
        <v>0.6666666667</v>
      </c>
      <c r="BM24" s="11">
        <f t="shared" si="11"/>
        <v>0.8571428571</v>
      </c>
      <c r="BN24" s="11">
        <f t="shared" si="12"/>
        <v>0.8571428571</v>
      </c>
      <c r="BO24" s="11">
        <f t="shared" si="13"/>
        <v>0.8571428571</v>
      </c>
      <c r="BP24" s="11">
        <f t="shared" si="14"/>
        <v>0.95</v>
      </c>
      <c r="BQ24" s="11">
        <f t="shared" si="15"/>
        <v>0.875</v>
      </c>
      <c r="BR24" s="8"/>
    </row>
    <row r="25" ht="15.75" customHeight="1">
      <c r="A25" s="8" t="s">
        <v>243</v>
      </c>
      <c r="B25" s="8" t="str">
        <f>IFERROR(VLOOKUP(A25,'01_ข้อมูลร้าน'!$A$2:$B$51,2,FALSE),"")</f>
        <v>ร้านทองม้วนคุณใบ้</v>
      </c>
      <c r="C25" s="8" t="s">
        <v>114</v>
      </c>
      <c r="D25" s="8"/>
      <c r="E25" s="9">
        <v>3.0</v>
      </c>
      <c r="F25" s="9">
        <v>3.0</v>
      </c>
      <c r="G25" s="9">
        <v>3.0</v>
      </c>
      <c r="H25" s="9">
        <v>4.0</v>
      </c>
      <c r="I25" s="9">
        <v>3.0</v>
      </c>
      <c r="J25" s="9">
        <v>3.0</v>
      </c>
      <c r="K25" s="9">
        <v>2.0</v>
      </c>
      <c r="L25" s="9">
        <v>2.0</v>
      </c>
      <c r="M25" s="9">
        <v>2.0</v>
      </c>
      <c r="N25" s="9">
        <v>4.0</v>
      </c>
      <c r="O25" s="9">
        <v>4.0</v>
      </c>
      <c r="P25" s="9">
        <v>4.0</v>
      </c>
      <c r="Q25" s="9">
        <v>3.0</v>
      </c>
      <c r="R25" s="9">
        <v>3.0</v>
      </c>
      <c r="S25" s="9">
        <v>4.0</v>
      </c>
      <c r="T25" s="9">
        <v>3.0</v>
      </c>
      <c r="U25" s="9">
        <v>3.0</v>
      </c>
      <c r="V25" s="9">
        <v>3.0</v>
      </c>
      <c r="W25" s="9">
        <v>3.0</v>
      </c>
      <c r="X25" s="9">
        <v>2.0</v>
      </c>
      <c r="Y25" s="9">
        <v>3.0</v>
      </c>
      <c r="Z25" s="9">
        <v>3.0</v>
      </c>
      <c r="AA25" s="9">
        <v>3.0</v>
      </c>
      <c r="AB25" s="9">
        <v>2.0</v>
      </c>
      <c r="AC25" s="9">
        <v>2.0</v>
      </c>
      <c r="AD25" s="9">
        <v>2.0</v>
      </c>
      <c r="AE25" s="9">
        <v>1.0</v>
      </c>
      <c r="AF25" s="9">
        <v>3.0</v>
      </c>
      <c r="AG25" s="9">
        <v>2.0</v>
      </c>
      <c r="AH25" s="9">
        <v>3.0</v>
      </c>
      <c r="AI25" s="9">
        <v>3.0</v>
      </c>
      <c r="AJ25" s="9">
        <v>3.0</v>
      </c>
      <c r="AK25" s="9">
        <v>3.0</v>
      </c>
      <c r="AL25" s="9">
        <v>3.0</v>
      </c>
      <c r="AM25" s="9">
        <v>1.0</v>
      </c>
      <c r="AN25" s="9">
        <v>2.0</v>
      </c>
      <c r="AO25" s="9">
        <v>4.0</v>
      </c>
      <c r="AP25" s="9">
        <v>3.0</v>
      </c>
      <c r="AQ25" s="9">
        <v>2.0</v>
      </c>
      <c r="AR25" s="9">
        <v>3.0</v>
      </c>
      <c r="AS25" s="9">
        <v>3.0</v>
      </c>
      <c r="AT25" s="9">
        <v>4.0</v>
      </c>
      <c r="AU25" s="9">
        <v>3.0</v>
      </c>
      <c r="AV25" s="9">
        <v>2.0</v>
      </c>
      <c r="AW25" s="9">
        <v>4.0</v>
      </c>
      <c r="AX25" s="9">
        <v>3.0</v>
      </c>
      <c r="AY25" s="9">
        <v>2.0</v>
      </c>
      <c r="AZ25" s="9">
        <v>3.0</v>
      </c>
      <c r="BA25" s="9">
        <v>3.0</v>
      </c>
      <c r="BB25" s="9">
        <v>3.0</v>
      </c>
      <c r="BC25" s="11">
        <f t="shared" si="4"/>
        <v>1</v>
      </c>
      <c r="BD25" s="8">
        <f t="shared" si="5"/>
        <v>142</v>
      </c>
      <c r="BE25" s="11">
        <f t="shared" si="1"/>
        <v>0.71</v>
      </c>
      <c r="BF25" s="11">
        <f t="shared" si="6"/>
        <v>0.7038392857</v>
      </c>
      <c r="BG25" s="8">
        <f t="shared" si="7"/>
        <v>2</v>
      </c>
      <c r="BH25" s="8" t="str">
        <f t="shared" si="2"/>
        <v>ดี</v>
      </c>
      <c r="BI25" s="8" t="str">
        <f t="shared" si="3"/>
        <v>มิติ 4</v>
      </c>
      <c r="BJ25" s="11">
        <f t="shared" si="8"/>
        <v>0.75</v>
      </c>
      <c r="BK25" s="11">
        <f t="shared" si="9"/>
        <v>0.7857142857</v>
      </c>
      <c r="BL25" s="11">
        <f t="shared" si="10"/>
        <v>0.75</v>
      </c>
      <c r="BM25" s="11">
        <f t="shared" si="11"/>
        <v>0.5714285714</v>
      </c>
      <c r="BN25" s="11">
        <f t="shared" si="12"/>
        <v>0.7142857143</v>
      </c>
      <c r="BO25" s="11">
        <f t="shared" si="13"/>
        <v>0.6428571429</v>
      </c>
      <c r="BP25" s="11">
        <f t="shared" si="14"/>
        <v>0.8</v>
      </c>
      <c r="BQ25" s="11">
        <f t="shared" si="15"/>
        <v>0.6875</v>
      </c>
      <c r="BR25" s="8"/>
    </row>
    <row r="26" ht="15.75" customHeight="1">
      <c r="A26" s="20" t="s">
        <v>250</v>
      </c>
      <c r="B26" s="20" t="str">
        <f>IFERROR(VLOOKUP(A26,'01_ข้อมูลร้าน'!$A$2:$B$51,2,FALSE),"")</f>
        <v>ร้านไชโย</v>
      </c>
      <c r="C26" s="20" t="s">
        <v>114</v>
      </c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1">
        <f t="shared" si="4"/>
        <v>0</v>
      </c>
      <c r="BD26" s="20">
        <f t="shared" si="5"/>
        <v>0</v>
      </c>
      <c r="BE26" s="21">
        <f t="shared" si="1"/>
        <v>0</v>
      </c>
      <c r="BF26" s="21">
        <f t="shared" si="6"/>
        <v>0</v>
      </c>
      <c r="BG26" s="20">
        <f t="shared" si="7"/>
        <v>0</v>
      </c>
      <c r="BH26" s="20" t="str">
        <f t="shared" si="2"/>
        <v>ยังไม่ประเมิน</v>
      </c>
      <c r="BI26" s="20" t="str">
        <f t="shared" si="3"/>
        <v>ยังไม่ประเมิน</v>
      </c>
      <c r="BJ26" s="21">
        <f t="shared" si="8"/>
        <v>0</v>
      </c>
      <c r="BK26" s="21">
        <f t="shared" si="9"/>
        <v>0</v>
      </c>
      <c r="BL26" s="21">
        <f t="shared" si="10"/>
        <v>0</v>
      </c>
      <c r="BM26" s="21">
        <f t="shared" si="11"/>
        <v>0</v>
      </c>
      <c r="BN26" s="21">
        <f t="shared" si="12"/>
        <v>0</v>
      </c>
      <c r="BO26" s="21">
        <f t="shared" si="13"/>
        <v>0</v>
      </c>
      <c r="BP26" s="21">
        <f t="shared" si="14"/>
        <v>0</v>
      </c>
      <c r="BQ26" s="21">
        <f t="shared" si="15"/>
        <v>0</v>
      </c>
      <c r="BR26" s="20"/>
    </row>
    <row r="27" ht="15.75" customHeight="1">
      <c r="A27" s="8" t="s">
        <v>252</v>
      </c>
      <c r="B27" s="8" t="str">
        <f>IFERROR(VLOOKUP(A27,'01_ข้อมูลร้าน'!$A$2:$B$51,2,FALSE),"")</f>
        <v>ก๋วยเตี๋ยวปากหม้อ เกวียนนิยม </v>
      </c>
      <c r="C27" s="8" t="s">
        <v>114</v>
      </c>
      <c r="D27" s="8"/>
      <c r="E27" s="9">
        <v>4.0</v>
      </c>
      <c r="F27" s="9">
        <v>4.0</v>
      </c>
      <c r="G27" s="9">
        <v>1.0</v>
      </c>
      <c r="H27" s="9">
        <v>3.0</v>
      </c>
      <c r="I27" s="9">
        <v>4.0</v>
      </c>
      <c r="J27" s="9">
        <v>3.0</v>
      </c>
      <c r="K27" s="9">
        <v>3.0</v>
      </c>
      <c r="L27" s="9">
        <v>4.0</v>
      </c>
      <c r="M27" s="9">
        <v>3.0</v>
      </c>
      <c r="N27" s="9">
        <v>4.0</v>
      </c>
      <c r="O27" s="9">
        <v>3.0</v>
      </c>
      <c r="P27" s="9">
        <v>4.0</v>
      </c>
      <c r="Q27" s="9">
        <v>4.0</v>
      </c>
      <c r="R27" s="9">
        <v>4.0</v>
      </c>
      <c r="S27" s="9">
        <v>4.0</v>
      </c>
      <c r="T27" s="9">
        <v>4.0</v>
      </c>
      <c r="U27" s="9">
        <v>4.0</v>
      </c>
      <c r="V27" s="9">
        <v>4.0</v>
      </c>
      <c r="W27" s="9">
        <v>3.0</v>
      </c>
      <c r="X27" s="9">
        <v>2.0</v>
      </c>
      <c r="Y27" s="9">
        <v>4.0</v>
      </c>
      <c r="Z27" s="9">
        <v>4.0</v>
      </c>
      <c r="AA27" s="9">
        <v>4.0</v>
      </c>
      <c r="AB27" s="9">
        <v>4.0</v>
      </c>
      <c r="AC27" s="9">
        <v>3.0</v>
      </c>
      <c r="AD27" s="9">
        <v>3.0</v>
      </c>
      <c r="AE27" s="9">
        <v>3.0</v>
      </c>
      <c r="AF27" s="9">
        <v>3.0</v>
      </c>
      <c r="AG27" s="9">
        <v>3.0</v>
      </c>
      <c r="AH27" s="9">
        <v>4.0</v>
      </c>
      <c r="AI27" s="9">
        <v>4.0</v>
      </c>
      <c r="AJ27" s="9">
        <v>4.0</v>
      </c>
      <c r="AK27" s="9">
        <v>2.0</v>
      </c>
      <c r="AL27" s="9">
        <v>3.0</v>
      </c>
      <c r="AM27" s="9">
        <v>1.0</v>
      </c>
      <c r="AN27" s="9">
        <v>1.0</v>
      </c>
      <c r="AO27" s="9">
        <v>3.0</v>
      </c>
      <c r="AP27" s="9">
        <v>1.0</v>
      </c>
      <c r="AQ27" s="9">
        <v>0.0</v>
      </c>
      <c r="AR27" s="9">
        <v>1.0</v>
      </c>
      <c r="AS27" s="9">
        <v>3.0</v>
      </c>
      <c r="AT27" s="9">
        <v>4.0</v>
      </c>
      <c r="AU27" s="9">
        <v>3.0</v>
      </c>
      <c r="AV27" s="9">
        <v>4.0</v>
      </c>
      <c r="AW27" s="9">
        <v>0.0</v>
      </c>
      <c r="AX27" s="9">
        <v>4.0</v>
      </c>
      <c r="AY27" s="9">
        <v>4.0</v>
      </c>
      <c r="AZ27" s="9">
        <v>4.0</v>
      </c>
      <c r="BA27" s="9">
        <v>4.0</v>
      </c>
      <c r="BB27" s="9">
        <v>4.0</v>
      </c>
      <c r="BC27" s="11">
        <f t="shared" si="4"/>
        <v>1</v>
      </c>
      <c r="BD27" s="8">
        <f t="shared" si="5"/>
        <v>158</v>
      </c>
      <c r="BE27" s="11">
        <f t="shared" si="1"/>
        <v>0.79</v>
      </c>
      <c r="BF27" s="11">
        <f t="shared" si="6"/>
        <v>0.7732142857</v>
      </c>
      <c r="BG27" s="8">
        <f t="shared" si="7"/>
        <v>7</v>
      </c>
      <c r="BH27" s="8" t="str">
        <f t="shared" si="2"/>
        <v>ดี</v>
      </c>
      <c r="BI27" s="8" t="str">
        <f t="shared" si="3"/>
        <v>มิติ 6</v>
      </c>
      <c r="BJ27" s="11">
        <f t="shared" si="8"/>
        <v>0.7857142857</v>
      </c>
      <c r="BK27" s="11">
        <f t="shared" si="9"/>
        <v>0.9285714286</v>
      </c>
      <c r="BL27" s="11">
        <f t="shared" si="10"/>
        <v>0.875</v>
      </c>
      <c r="BM27" s="11">
        <f t="shared" si="11"/>
        <v>0.8928571429</v>
      </c>
      <c r="BN27" s="11">
        <f t="shared" si="12"/>
        <v>0.8214285714</v>
      </c>
      <c r="BO27" s="11">
        <f t="shared" si="13"/>
        <v>0.3571428571</v>
      </c>
      <c r="BP27" s="11">
        <f t="shared" si="14"/>
        <v>0.75</v>
      </c>
      <c r="BQ27" s="11">
        <f t="shared" si="15"/>
        <v>1</v>
      </c>
      <c r="BR27" s="8"/>
    </row>
    <row r="28" ht="15.75" customHeight="1">
      <c r="A28" s="8" t="s">
        <v>254</v>
      </c>
      <c r="B28" s="8" t="str">
        <f>IFERROR(VLOOKUP(A28,'01_ข้อมูลร้าน'!$A$2:$B$51,2,FALSE),"")</f>
        <v>Chatrium Golf Resort Soidao</v>
      </c>
      <c r="C28" s="8" t="s">
        <v>114</v>
      </c>
      <c r="D28" s="8"/>
      <c r="E28" s="9">
        <v>4.0</v>
      </c>
      <c r="F28" s="9">
        <v>4.0</v>
      </c>
      <c r="G28" s="9">
        <v>2.0</v>
      </c>
      <c r="H28" s="9">
        <v>3.0</v>
      </c>
      <c r="I28" s="9">
        <v>4.0</v>
      </c>
      <c r="J28" s="9">
        <v>4.0</v>
      </c>
      <c r="K28" s="9">
        <v>3.0</v>
      </c>
      <c r="L28" s="9">
        <v>4.0</v>
      </c>
      <c r="M28" s="9">
        <v>4.0</v>
      </c>
      <c r="N28" s="9">
        <v>4.0</v>
      </c>
      <c r="O28" s="9">
        <v>4.0</v>
      </c>
      <c r="P28" s="9">
        <v>4.0</v>
      </c>
      <c r="Q28" s="9">
        <v>3.0</v>
      </c>
      <c r="R28" s="9">
        <v>2.0</v>
      </c>
      <c r="S28" s="9">
        <v>4.0</v>
      </c>
      <c r="T28" s="9">
        <v>3.0</v>
      </c>
      <c r="U28" s="9">
        <v>2.0</v>
      </c>
      <c r="V28" s="9">
        <v>2.0</v>
      </c>
      <c r="W28" s="9">
        <v>2.0</v>
      </c>
      <c r="X28" s="9">
        <v>2.0</v>
      </c>
      <c r="Y28" s="9">
        <v>3.0</v>
      </c>
      <c r="Z28" s="9">
        <v>4.0</v>
      </c>
      <c r="AA28" s="9">
        <v>2.0</v>
      </c>
      <c r="AB28" s="9">
        <v>0.0</v>
      </c>
      <c r="AC28" s="9">
        <v>2.0</v>
      </c>
      <c r="AD28" s="9">
        <v>4.0</v>
      </c>
      <c r="AE28" s="9">
        <v>3.0</v>
      </c>
      <c r="AF28" s="9">
        <v>2.0</v>
      </c>
      <c r="AG28" s="9">
        <v>3.0</v>
      </c>
      <c r="AH28" s="9">
        <v>4.0</v>
      </c>
      <c r="AI28" s="9">
        <v>4.0</v>
      </c>
      <c r="AJ28" s="9">
        <v>3.0</v>
      </c>
      <c r="AK28" s="9">
        <v>3.0</v>
      </c>
      <c r="AL28" s="9">
        <v>3.0</v>
      </c>
      <c r="AM28" s="9">
        <v>4.0</v>
      </c>
      <c r="AN28" s="9">
        <v>4.0</v>
      </c>
      <c r="AO28" s="9">
        <v>3.0</v>
      </c>
      <c r="AP28" s="9">
        <v>4.0</v>
      </c>
      <c r="AQ28" s="9">
        <v>4.0</v>
      </c>
      <c r="AR28" s="9">
        <v>2.0</v>
      </c>
      <c r="AS28" s="9">
        <v>2.0</v>
      </c>
      <c r="AT28" s="9">
        <v>4.0</v>
      </c>
      <c r="AU28" s="9">
        <v>4.0</v>
      </c>
      <c r="AV28" s="9">
        <v>4.0</v>
      </c>
      <c r="AW28" s="9">
        <v>4.0</v>
      </c>
      <c r="AX28" s="9">
        <v>4.0</v>
      </c>
      <c r="AY28" s="9">
        <v>4.0</v>
      </c>
      <c r="AZ28" s="9">
        <v>4.0</v>
      </c>
      <c r="BA28" s="9">
        <v>3.0</v>
      </c>
      <c r="BB28" s="9">
        <v>2.0</v>
      </c>
      <c r="BC28" s="11">
        <f t="shared" si="4"/>
        <v>1</v>
      </c>
      <c r="BD28" s="8">
        <f t="shared" si="5"/>
        <v>160</v>
      </c>
      <c r="BE28" s="11">
        <f t="shared" si="1"/>
        <v>0.8</v>
      </c>
      <c r="BF28" s="11">
        <f t="shared" si="6"/>
        <v>0.7947321429</v>
      </c>
      <c r="BG28" s="8">
        <f t="shared" si="7"/>
        <v>1</v>
      </c>
      <c r="BH28" s="8" t="str">
        <f t="shared" si="2"/>
        <v>ดี</v>
      </c>
      <c r="BI28" s="8" t="str">
        <f t="shared" si="3"/>
        <v>มิติ 3</v>
      </c>
      <c r="BJ28" s="11">
        <f t="shared" si="8"/>
        <v>0.8571428571</v>
      </c>
      <c r="BK28" s="11">
        <f t="shared" si="9"/>
        <v>0.8928571429</v>
      </c>
      <c r="BL28" s="11">
        <f t="shared" si="10"/>
        <v>0.625</v>
      </c>
      <c r="BM28" s="11">
        <f t="shared" si="11"/>
        <v>0.6428571429</v>
      </c>
      <c r="BN28" s="11">
        <f t="shared" si="12"/>
        <v>0.7857142857</v>
      </c>
      <c r="BO28" s="11">
        <f t="shared" si="13"/>
        <v>0.8214285714</v>
      </c>
      <c r="BP28" s="11">
        <f t="shared" si="14"/>
        <v>1</v>
      </c>
      <c r="BQ28" s="11">
        <f t="shared" si="15"/>
        <v>0.8125</v>
      </c>
      <c r="BR28" s="8"/>
    </row>
    <row r="29" ht="15.75" customHeight="1">
      <c r="A29" s="8" t="s">
        <v>256</v>
      </c>
      <c r="B29" s="8" t="str">
        <f>IFERROR(VLOOKUP(A29,'01_ข้อมูลร้าน'!$A$2:$B$51,2,FALSE),"")</f>
        <v>มาเว้า MA WAO</v>
      </c>
      <c r="C29" s="8" t="s">
        <v>114</v>
      </c>
      <c r="D29" s="8"/>
      <c r="E29" s="9">
        <v>0.0</v>
      </c>
      <c r="F29" s="9">
        <v>0.0</v>
      </c>
      <c r="G29" s="9">
        <v>0.0</v>
      </c>
      <c r="H29" s="9">
        <v>0.0</v>
      </c>
      <c r="I29" s="9">
        <v>0.0</v>
      </c>
      <c r="J29" s="9">
        <v>0.0</v>
      </c>
      <c r="K29" s="9">
        <v>0.0</v>
      </c>
      <c r="L29" s="9">
        <v>0.0</v>
      </c>
      <c r="M29" s="9">
        <v>0.0</v>
      </c>
      <c r="N29" s="9">
        <v>0.0</v>
      </c>
      <c r="O29" s="9">
        <v>0.0</v>
      </c>
      <c r="P29" s="9">
        <v>0.0</v>
      </c>
      <c r="Q29" s="9">
        <v>0.0</v>
      </c>
      <c r="R29" s="9">
        <v>0.0</v>
      </c>
      <c r="S29" s="9">
        <v>0.0</v>
      </c>
      <c r="T29" s="9">
        <v>0.0</v>
      </c>
      <c r="U29" s="9">
        <v>0.0</v>
      </c>
      <c r="V29" s="9">
        <v>0.0</v>
      </c>
      <c r="W29" s="9">
        <v>0.0</v>
      </c>
      <c r="X29" s="9">
        <v>0.0</v>
      </c>
      <c r="Y29" s="9">
        <v>0.0</v>
      </c>
      <c r="Z29" s="9">
        <v>0.0</v>
      </c>
      <c r="AA29" s="9">
        <v>0.0</v>
      </c>
      <c r="AB29" s="9">
        <v>0.0</v>
      </c>
      <c r="AC29" s="9">
        <v>0.0</v>
      </c>
      <c r="AD29" s="9">
        <v>0.0</v>
      </c>
      <c r="AE29" s="9">
        <v>0.0</v>
      </c>
      <c r="AF29" s="9">
        <v>0.0</v>
      </c>
      <c r="AG29" s="9">
        <v>0.0</v>
      </c>
      <c r="AH29" s="9">
        <v>0.0</v>
      </c>
      <c r="AI29" s="9">
        <v>0.0</v>
      </c>
      <c r="AJ29" s="9">
        <v>0.0</v>
      </c>
      <c r="AK29" s="9">
        <v>0.0</v>
      </c>
      <c r="AL29" s="9">
        <v>0.0</v>
      </c>
      <c r="AM29" s="9">
        <v>0.0</v>
      </c>
      <c r="AN29" s="9">
        <v>0.0</v>
      </c>
      <c r="AO29" s="9">
        <v>0.0</v>
      </c>
      <c r="AP29" s="9">
        <v>0.0</v>
      </c>
      <c r="AQ29" s="9">
        <v>0.0</v>
      </c>
      <c r="AR29" s="9">
        <v>0.0</v>
      </c>
      <c r="AS29" s="9">
        <v>0.0</v>
      </c>
      <c r="AT29" s="9">
        <v>0.0</v>
      </c>
      <c r="AU29" s="9">
        <v>0.0</v>
      </c>
      <c r="AV29" s="9">
        <v>0.0</v>
      </c>
      <c r="AW29" s="9">
        <v>0.0</v>
      </c>
      <c r="AX29" s="9">
        <v>0.0</v>
      </c>
      <c r="AY29" s="9">
        <v>0.0</v>
      </c>
      <c r="AZ29" s="9">
        <v>0.0</v>
      </c>
      <c r="BA29" s="9">
        <v>0.0</v>
      </c>
      <c r="BB29" s="9">
        <v>0.0</v>
      </c>
      <c r="BC29" s="11">
        <f t="shared" si="4"/>
        <v>1</v>
      </c>
      <c r="BD29" s="8">
        <f t="shared" si="5"/>
        <v>0</v>
      </c>
      <c r="BE29" s="11">
        <f t="shared" si="1"/>
        <v>0</v>
      </c>
      <c r="BF29" s="11">
        <f t="shared" si="6"/>
        <v>0</v>
      </c>
      <c r="BG29" s="8">
        <f t="shared" si="7"/>
        <v>50</v>
      </c>
      <c r="BH29" s="8" t="str">
        <f t="shared" si="2"/>
        <v>เร่งแก้ไข</v>
      </c>
      <c r="BI29" s="8" t="str">
        <f t="shared" si="3"/>
        <v>มิติ 1</v>
      </c>
      <c r="BJ29" s="11">
        <f t="shared" si="8"/>
        <v>0</v>
      </c>
      <c r="BK29" s="11">
        <f t="shared" si="9"/>
        <v>0</v>
      </c>
      <c r="BL29" s="11">
        <f t="shared" si="10"/>
        <v>0</v>
      </c>
      <c r="BM29" s="11">
        <f t="shared" si="11"/>
        <v>0</v>
      </c>
      <c r="BN29" s="11">
        <f t="shared" si="12"/>
        <v>0</v>
      </c>
      <c r="BO29" s="11">
        <f t="shared" si="13"/>
        <v>0</v>
      </c>
      <c r="BP29" s="11">
        <f t="shared" si="14"/>
        <v>0</v>
      </c>
      <c r="BQ29" s="11">
        <f t="shared" si="15"/>
        <v>0</v>
      </c>
      <c r="BR29" s="8"/>
    </row>
    <row r="30" ht="15.75" customHeight="1">
      <c r="A30" s="8" t="s">
        <v>258</v>
      </c>
      <c r="B30" s="8" t="str">
        <f>IFERROR(VLOOKUP(A30,'01_ข้อมูลร้าน'!$A$2:$B$51,2,FALSE),"")</f>
        <v>ร้านต้นสลัด</v>
      </c>
      <c r="C30" s="8" t="s">
        <v>114</v>
      </c>
      <c r="D30" s="8"/>
      <c r="E30" s="9">
        <v>3.0</v>
      </c>
      <c r="F30" s="9">
        <v>2.0</v>
      </c>
      <c r="G30" s="9">
        <v>2.0</v>
      </c>
      <c r="H30" s="9">
        <v>2.0</v>
      </c>
      <c r="I30" s="9">
        <v>1.0</v>
      </c>
      <c r="J30" s="9">
        <v>3.0</v>
      </c>
      <c r="K30" s="9">
        <v>3.0</v>
      </c>
      <c r="L30" s="9">
        <v>4.0</v>
      </c>
      <c r="M30" s="9">
        <v>2.0</v>
      </c>
      <c r="N30" s="9">
        <v>4.0</v>
      </c>
      <c r="O30" s="9">
        <v>1.0</v>
      </c>
      <c r="P30" s="9">
        <v>3.0</v>
      </c>
      <c r="Q30" s="9">
        <v>4.0</v>
      </c>
      <c r="R30" s="9">
        <v>2.0</v>
      </c>
      <c r="S30" s="9">
        <v>3.0</v>
      </c>
      <c r="T30" s="9">
        <v>1.0</v>
      </c>
      <c r="U30" s="9">
        <v>2.0</v>
      </c>
      <c r="V30" s="9">
        <v>2.0</v>
      </c>
      <c r="W30" s="9">
        <v>2.0</v>
      </c>
      <c r="X30" s="9">
        <v>2.0</v>
      </c>
      <c r="Y30" s="9">
        <v>3.0</v>
      </c>
      <c r="Z30" s="9">
        <v>2.0</v>
      </c>
      <c r="AA30" s="9">
        <v>2.0</v>
      </c>
      <c r="AB30" s="9">
        <v>2.0</v>
      </c>
      <c r="AC30" s="9">
        <v>2.0</v>
      </c>
      <c r="AD30" s="9">
        <v>3.0</v>
      </c>
      <c r="AE30" s="9">
        <v>3.0</v>
      </c>
      <c r="AF30" s="9">
        <v>2.0</v>
      </c>
      <c r="AG30" s="9">
        <v>3.0</v>
      </c>
      <c r="AH30" s="9">
        <v>4.0</v>
      </c>
      <c r="AI30" s="9">
        <v>4.0</v>
      </c>
      <c r="AJ30" s="9">
        <v>4.0</v>
      </c>
      <c r="AK30" s="9">
        <v>3.0</v>
      </c>
      <c r="AL30" s="9">
        <v>3.0</v>
      </c>
      <c r="AM30" s="9">
        <v>2.0</v>
      </c>
      <c r="AN30" s="9">
        <v>3.0</v>
      </c>
      <c r="AO30" s="9">
        <v>3.0</v>
      </c>
      <c r="AP30" s="9">
        <v>2.0</v>
      </c>
      <c r="AQ30" s="9">
        <v>2.0</v>
      </c>
      <c r="AR30" s="9">
        <v>1.0</v>
      </c>
      <c r="AS30" s="9">
        <v>2.0</v>
      </c>
      <c r="AT30" s="9">
        <v>2.0</v>
      </c>
      <c r="AU30" s="9">
        <v>2.0</v>
      </c>
      <c r="AV30" s="9">
        <v>2.0</v>
      </c>
      <c r="AW30" s="9">
        <v>4.0</v>
      </c>
      <c r="AX30" s="9">
        <v>2.0</v>
      </c>
      <c r="AY30" s="9">
        <v>3.0</v>
      </c>
      <c r="AZ30" s="9">
        <v>3.0</v>
      </c>
      <c r="BA30" s="9">
        <v>2.0</v>
      </c>
      <c r="BB30" s="9">
        <v>3.0</v>
      </c>
      <c r="BC30" s="11">
        <f t="shared" si="4"/>
        <v>1</v>
      </c>
      <c r="BD30" s="8">
        <f t="shared" si="5"/>
        <v>126</v>
      </c>
      <c r="BE30" s="11">
        <f t="shared" si="1"/>
        <v>0.63</v>
      </c>
      <c r="BF30" s="11">
        <f t="shared" si="6"/>
        <v>0.6434821429</v>
      </c>
      <c r="BG30" s="8">
        <f t="shared" si="7"/>
        <v>4</v>
      </c>
      <c r="BH30" s="8" t="str">
        <f t="shared" si="2"/>
        <v>ต้องพัฒนา</v>
      </c>
      <c r="BI30" s="8" t="str">
        <f t="shared" si="3"/>
        <v>มิติ 3</v>
      </c>
      <c r="BJ30" s="11">
        <f t="shared" si="8"/>
        <v>0.5714285714</v>
      </c>
      <c r="BK30" s="11">
        <f t="shared" si="9"/>
        <v>0.7142857143</v>
      </c>
      <c r="BL30" s="11">
        <f t="shared" si="10"/>
        <v>0.5</v>
      </c>
      <c r="BM30" s="11">
        <f t="shared" si="11"/>
        <v>0.6071428571</v>
      </c>
      <c r="BN30" s="11">
        <f t="shared" si="12"/>
        <v>0.8214285714</v>
      </c>
      <c r="BO30" s="11">
        <f t="shared" si="13"/>
        <v>0.5357142857</v>
      </c>
      <c r="BP30" s="11">
        <f t="shared" si="14"/>
        <v>0.6</v>
      </c>
      <c r="BQ30" s="11">
        <f t="shared" si="15"/>
        <v>0.6875</v>
      </c>
      <c r="BR30" s="8"/>
    </row>
    <row r="31" ht="15.75" customHeight="1">
      <c r="A31" s="8" t="s">
        <v>260</v>
      </c>
      <c r="B31" s="8" t="str">
        <f>IFERROR(VLOOKUP(A31,'01_ข้อมูลร้าน'!$A$2:$B$51,2,FALSE),"")</f>
        <v>The Sunset Deck</v>
      </c>
      <c r="C31" s="8" t="s">
        <v>114</v>
      </c>
      <c r="D31" s="8"/>
      <c r="E31" s="9">
        <v>3.0</v>
      </c>
      <c r="F31" s="9">
        <v>2.0</v>
      </c>
      <c r="G31" s="9">
        <v>1.0</v>
      </c>
      <c r="H31" s="9">
        <v>2.0</v>
      </c>
      <c r="I31" s="9">
        <v>3.0</v>
      </c>
      <c r="J31" s="9">
        <v>0.0</v>
      </c>
      <c r="K31" s="9">
        <v>0.0</v>
      </c>
      <c r="L31" s="9">
        <v>4.0</v>
      </c>
      <c r="M31" s="9">
        <v>3.0</v>
      </c>
      <c r="N31" s="9">
        <v>2.0</v>
      </c>
      <c r="O31" s="9">
        <v>3.0</v>
      </c>
      <c r="P31" s="9">
        <v>4.0</v>
      </c>
      <c r="Q31" s="9">
        <v>4.0</v>
      </c>
      <c r="R31" s="9">
        <v>0.0</v>
      </c>
      <c r="S31" s="9">
        <v>3.0</v>
      </c>
      <c r="T31" s="9">
        <v>2.0</v>
      </c>
      <c r="U31" s="9">
        <v>4.0</v>
      </c>
      <c r="V31" s="9">
        <v>3.0</v>
      </c>
      <c r="W31" s="9">
        <v>2.0</v>
      </c>
      <c r="X31" s="9">
        <v>1.0</v>
      </c>
      <c r="Y31" s="9">
        <v>0.0</v>
      </c>
      <c r="Z31" s="9">
        <v>0.0</v>
      </c>
      <c r="AA31" s="9">
        <v>0.0</v>
      </c>
      <c r="AB31" s="9">
        <v>0.0</v>
      </c>
      <c r="AC31" s="9">
        <v>3.0</v>
      </c>
      <c r="AD31" s="9">
        <v>2.0</v>
      </c>
      <c r="AE31" s="9">
        <v>3.0</v>
      </c>
      <c r="AF31" s="9">
        <v>1.0</v>
      </c>
      <c r="AG31" s="9">
        <v>2.0</v>
      </c>
      <c r="AH31" s="9">
        <v>4.0</v>
      </c>
      <c r="AI31" s="9">
        <v>4.0</v>
      </c>
      <c r="AJ31" s="9">
        <v>4.0</v>
      </c>
      <c r="AK31" s="9">
        <v>2.0</v>
      </c>
      <c r="AL31" s="9">
        <v>1.0</v>
      </c>
      <c r="AM31" s="9">
        <v>1.0</v>
      </c>
      <c r="AN31" s="9">
        <v>1.0</v>
      </c>
      <c r="AO31" s="9">
        <v>1.0</v>
      </c>
      <c r="AP31" s="9">
        <v>1.0</v>
      </c>
      <c r="AQ31" s="9">
        <v>0.0</v>
      </c>
      <c r="AR31" s="9">
        <v>1.0</v>
      </c>
      <c r="AS31" s="9">
        <v>1.0</v>
      </c>
      <c r="AT31" s="9">
        <v>4.0</v>
      </c>
      <c r="AU31" s="9">
        <v>3.0</v>
      </c>
      <c r="AV31" s="9">
        <v>4.0</v>
      </c>
      <c r="AW31" s="9">
        <v>0.0</v>
      </c>
      <c r="AX31" s="9">
        <v>0.0</v>
      </c>
      <c r="AY31" s="9">
        <v>4.0</v>
      </c>
      <c r="AZ31" s="9">
        <v>4.0</v>
      </c>
      <c r="BA31" s="9">
        <v>4.0</v>
      </c>
      <c r="BB31" s="9">
        <v>4.0</v>
      </c>
      <c r="BC31" s="11">
        <f t="shared" si="4"/>
        <v>1</v>
      </c>
      <c r="BD31" s="8">
        <f t="shared" si="5"/>
        <v>105</v>
      </c>
      <c r="BE31" s="11">
        <f t="shared" si="1"/>
        <v>0.525</v>
      </c>
      <c r="BF31" s="11">
        <f t="shared" si="6"/>
        <v>0.5185714286</v>
      </c>
      <c r="BG31" s="8">
        <f t="shared" si="7"/>
        <v>20</v>
      </c>
      <c r="BH31" s="8" t="str">
        <f t="shared" si="2"/>
        <v>ต้องพัฒนา</v>
      </c>
      <c r="BI31" s="8" t="str">
        <f t="shared" si="3"/>
        <v>มิติ 6</v>
      </c>
      <c r="BJ31" s="11">
        <f t="shared" si="8"/>
        <v>0.3928571429</v>
      </c>
      <c r="BK31" s="11">
        <f t="shared" si="9"/>
        <v>0.7142857143</v>
      </c>
      <c r="BL31" s="11">
        <f t="shared" si="10"/>
        <v>0.625</v>
      </c>
      <c r="BM31" s="11">
        <f t="shared" si="11"/>
        <v>0.2857142857</v>
      </c>
      <c r="BN31" s="11">
        <f t="shared" si="12"/>
        <v>0.6428571429</v>
      </c>
      <c r="BO31" s="11">
        <f t="shared" si="13"/>
        <v>0.2142857143</v>
      </c>
      <c r="BP31" s="11">
        <f t="shared" si="14"/>
        <v>0.55</v>
      </c>
      <c r="BQ31" s="11">
        <f t="shared" si="15"/>
        <v>1</v>
      </c>
      <c r="BR31" s="8"/>
    </row>
    <row r="32" ht="15.75" customHeight="1">
      <c r="A32" s="8" t="s">
        <v>262</v>
      </c>
      <c r="B32" s="8" t="str">
        <f>IFERROR(VLOOKUP(A32,'01_ข้อมูลร้าน'!$A$2:$B$51,2,FALSE),"")</f>
        <v>ร้านครัวรวมรส ๒๕๖๔ จังหวัดตราด</v>
      </c>
      <c r="C32" s="8" t="s">
        <v>114</v>
      </c>
      <c r="D32" s="8"/>
      <c r="E32" s="9">
        <v>3.0</v>
      </c>
      <c r="F32" s="9">
        <v>4.0</v>
      </c>
      <c r="G32" s="9">
        <v>2.0</v>
      </c>
      <c r="H32" s="9">
        <v>3.0</v>
      </c>
      <c r="I32" s="9">
        <v>1.0</v>
      </c>
      <c r="J32" s="9">
        <v>4.0</v>
      </c>
      <c r="K32" s="9">
        <v>3.0</v>
      </c>
      <c r="L32" s="9">
        <v>3.0</v>
      </c>
      <c r="M32" s="9">
        <v>2.0</v>
      </c>
      <c r="N32" s="9">
        <v>4.0</v>
      </c>
      <c r="O32" s="9">
        <v>1.0</v>
      </c>
      <c r="P32" s="9">
        <v>4.0</v>
      </c>
      <c r="Q32" s="9">
        <v>4.0</v>
      </c>
      <c r="R32" s="9">
        <v>3.0</v>
      </c>
      <c r="S32" s="9">
        <v>3.0</v>
      </c>
      <c r="T32" s="9">
        <v>2.0</v>
      </c>
      <c r="U32" s="9">
        <v>3.0</v>
      </c>
      <c r="V32" s="9">
        <v>1.0</v>
      </c>
      <c r="W32" s="9">
        <v>2.0</v>
      </c>
      <c r="X32" s="9">
        <v>1.0</v>
      </c>
      <c r="Y32" s="9">
        <v>2.0</v>
      </c>
      <c r="Z32" s="9">
        <v>4.0</v>
      </c>
      <c r="AA32" s="9">
        <v>2.0</v>
      </c>
      <c r="AB32" s="9">
        <v>3.0</v>
      </c>
      <c r="AC32" s="9">
        <v>3.0</v>
      </c>
      <c r="AD32" s="9">
        <v>3.0</v>
      </c>
      <c r="AE32" s="9">
        <v>3.0</v>
      </c>
      <c r="AF32" s="9">
        <v>2.0</v>
      </c>
      <c r="AG32" s="9">
        <v>3.0</v>
      </c>
      <c r="AH32" s="9">
        <v>3.0</v>
      </c>
      <c r="AI32" s="9">
        <v>2.0</v>
      </c>
      <c r="AJ32" s="9">
        <v>3.0</v>
      </c>
      <c r="AK32" s="9">
        <v>3.0</v>
      </c>
      <c r="AL32" s="9">
        <v>2.0</v>
      </c>
      <c r="AM32" s="9">
        <v>1.0</v>
      </c>
      <c r="AN32" s="9">
        <v>2.0</v>
      </c>
      <c r="AO32" s="9">
        <v>3.0</v>
      </c>
      <c r="AP32" s="9">
        <v>3.0</v>
      </c>
      <c r="AQ32" s="9">
        <v>3.0</v>
      </c>
      <c r="AR32" s="9">
        <v>2.0</v>
      </c>
      <c r="AS32" s="9">
        <v>3.0</v>
      </c>
      <c r="AT32" s="9">
        <v>2.0</v>
      </c>
      <c r="AU32" s="9">
        <v>3.0</v>
      </c>
      <c r="AV32" s="9">
        <v>2.0</v>
      </c>
      <c r="AW32" s="9">
        <v>3.0</v>
      </c>
      <c r="AX32" s="9">
        <v>3.0</v>
      </c>
      <c r="AY32" s="9">
        <v>2.0</v>
      </c>
      <c r="AZ32" s="9">
        <v>4.0</v>
      </c>
      <c r="BA32" s="9">
        <v>3.0</v>
      </c>
      <c r="BB32" s="9">
        <v>1.0</v>
      </c>
      <c r="BC32" s="11">
        <f t="shared" si="4"/>
        <v>1</v>
      </c>
      <c r="BD32" s="8">
        <f t="shared" si="5"/>
        <v>131</v>
      </c>
      <c r="BE32" s="11">
        <f t="shared" si="1"/>
        <v>0.655</v>
      </c>
      <c r="BF32" s="11">
        <f t="shared" si="6"/>
        <v>0.6551785714</v>
      </c>
      <c r="BG32" s="8">
        <f t="shared" si="7"/>
        <v>6</v>
      </c>
      <c r="BH32" s="8" t="str">
        <f t="shared" si="2"/>
        <v>ดี</v>
      </c>
      <c r="BI32" s="8" t="str">
        <f t="shared" si="3"/>
        <v>มิติ 3</v>
      </c>
      <c r="BJ32" s="11">
        <f t="shared" si="8"/>
        <v>0.7142857143</v>
      </c>
      <c r="BK32" s="11">
        <f t="shared" si="9"/>
        <v>0.75</v>
      </c>
      <c r="BL32" s="11">
        <f t="shared" si="10"/>
        <v>0.5</v>
      </c>
      <c r="BM32" s="11">
        <f t="shared" si="11"/>
        <v>0.7142857143</v>
      </c>
      <c r="BN32" s="11">
        <f t="shared" si="12"/>
        <v>0.6428571429</v>
      </c>
      <c r="BO32" s="11">
        <f t="shared" si="13"/>
        <v>0.6071428571</v>
      </c>
      <c r="BP32" s="11">
        <f t="shared" si="14"/>
        <v>0.65</v>
      </c>
      <c r="BQ32" s="11">
        <f t="shared" si="15"/>
        <v>0.625</v>
      </c>
      <c r="BR32" s="8"/>
    </row>
    <row r="33" ht="15.75" customHeight="1">
      <c r="A33" s="8" t="s">
        <v>265</v>
      </c>
      <c r="B33" s="8" t="str">
        <f>IFERROR(VLOOKUP(A33,'01_ข้อมูลร้าน'!$A$2:$B$51,2,FALSE),"")</f>
        <v>ร้านคดข้าว</v>
      </c>
      <c r="C33" s="8" t="s">
        <v>114</v>
      </c>
      <c r="D33" s="8"/>
      <c r="E33" s="9">
        <v>4.0</v>
      </c>
      <c r="F33" s="9">
        <v>4.0</v>
      </c>
      <c r="G33" s="9">
        <v>3.0</v>
      </c>
      <c r="H33" s="9">
        <v>3.0</v>
      </c>
      <c r="I33" s="9">
        <v>3.0</v>
      </c>
      <c r="J33" s="9">
        <v>2.0</v>
      </c>
      <c r="K33" s="9">
        <v>3.0</v>
      </c>
      <c r="L33" s="9">
        <v>4.0</v>
      </c>
      <c r="M33" s="9">
        <v>4.0</v>
      </c>
      <c r="N33" s="9">
        <v>3.0</v>
      </c>
      <c r="O33" s="9">
        <v>3.0</v>
      </c>
      <c r="P33" s="9">
        <v>3.0</v>
      </c>
      <c r="Q33" s="9">
        <v>4.0</v>
      </c>
      <c r="R33" s="9">
        <v>3.0</v>
      </c>
      <c r="S33" s="9">
        <v>4.0</v>
      </c>
      <c r="T33" s="9">
        <v>3.0</v>
      </c>
      <c r="U33" s="9">
        <v>4.0</v>
      </c>
      <c r="V33" s="9">
        <v>4.0</v>
      </c>
      <c r="W33" s="9">
        <v>4.0</v>
      </c>
      <c r="X33" s="9">
        <v>3.0</v>
      </c>
      <c r="Y33" s="9">
        <v>4.0</v>
      </c>
      <c r="Z33" s="9">
        <v>4.0</v>
      </c>
      <c r="AA33" s="9">
        <v>4.0</v>
      </c>
      <c r="AB33" s="9">
        <v>3.0</v>
      </c>
      <c r="AC33" s="9">
        <v>3.0</v>
      </c>
      <c r="AD33" s="9">
        <v>4.0</v>
      </c>
      <c r="AE33" s="9">
        <v>3.0</v>
      </c>
      <c r="AF33" s="9">
        <v>3.0</v>
      </c>
      <c r="AG33" s="9">
        <v>4.0</v>
      </c>
      <c r="AH33" s="9">
        <v>4.0</v>
      </c>
      <c r="AI33" s="9">
        <v>3.0</v>
      </c>
      <c r="AJ33" s="9">
        <v>3.0</v>
      </c>
      <c r="AK33" s="9">
        <v>2.0</v>
      </c>
      <c r="AL33" s="9">
        <v>3.0</v>
      </c>
      <c r="AM33" s="9">
        <v>2.0</v>
      </c>
      <c r="AN33" s="9">
        <v>3.0</v>
      </c>
      <c r="AO33" s="9">
        <v>2.0</v>
      </c>
      <c r="AP33" s="9">
        <v>3.0</v>
      </c>
      <c r="AQ33" s="9">
        <v>3.0</v>
      </c>
      <c r="AR33" s="9">
        <v>4.0</v>
      </c>
      <c r="AS33" s="9">
        <v>3.0</v>
      </c>
      <c r="AT33" s="9">
        <v>2.0</v>
      </c>
      <c r="AU33" s="9">
        <v>4.0</v>
      </c>
      <c r="AV33" s="9">
        <v>3.0</v>
      </c>
      <c r="AW33" s="9">
        <v>2.0</v>
      </c>
      <c r="AX33" s="9">
        <v>0.0</v>
      </c>
      <c r="AY33" s="9">
        <v>3.0</v>
      </c>
      <c r="AZ33" s="9">
        <v>4.0</v>
      </c>
      <c r="BA33" s="9">
        <v>4.0</v>
      </c>
      <c r="BB33" s="9">
        <v>3.0</v>
      </c>
      <c r="BC33" s="11">
        <f t="shared" si="4"/>
        <v>1</v>
      </c>
      <c r="BD33" s="8">
        <f t="shared" si="5"/>
        <v>160</v>
      </c>
      <c r="BE33" s="11">
        <f t="shared" si="1"/>
        <v>0.8</v>
      </c>
      <c r="BF33" s="11">
        <f t="shared" si="6"/>
        <v>0.8050595238</v>
      </c>
      <c r="BG33" s="8">
        <f t="shared" si="7"/>
        <v>1</v>
      </c>
      <c r="BH33" s="8" t="str">
        <f t="shared" si="2"/>
        <v>ดีมาก</v>
      </c>
      <c r="BI33" s="8" t="str">
        <f t="shared" si="3"/>
        <v>มิติ 7</v>
      </c>
      <c r="BJ33" s="11">
        <f t="shared" si="8"/>
        <v>0.7857142857</v>
      </c>
      <c r="BK33" s="11">
        <f t="shared" si="9"/>
        <v>0.8571428571</v>
      </c>
      <c r="BL33" s="11">
        <f t="shared" si="10"/>
        <v>0.9166666667</v>
      </c>
      <c r="BM33" s="11">
        <f t="shared" si="11"/>
        <v>0.8928571429</v>
      </c>
      <c r="BN33" s="11">
        <f t="shared" si="12"/>
        <v>0.7857142857</v>
      </c>
      <c r="BO33" s="11">
        <f t="shared" si="13"/>
        <v>0.7142857143</v>
      </c>
      <c r="BP33" s="11">
        <f t="shared" si="14"/>
        <v>0.55</v>
      </c>
      <c r="BQ33" s="11">
        <f t="shared" si="15"/>
        <v>0.875</v>
      </c>
      <c r="BR33" s="8"/>
    </row>
    <row r="34" ht="15.75" customHeight="1">
      <c r="A34" s="8" t="s">
        <v>270</v>
      </c>
      <c r="B34" s="8" t="str">
        <f>IFERROR(VLOOKUP(A34,'01_ข้อมูลร้าน'!$A$2:$B$51,2,FALSE),"")</f>
        <v>GRID GARDEN</v>
      </c>
      <c r="C34" s="8" t="s">
        <v>114</v>
      </c>
      <c r="D34" s="8"/>
      <c r="E34" s="9">
        <v>3.0</v>
      </c>
      <c r="F34" s="9">
        <v>3.0</v>
      </c>
      <c r="G34" s="9">
        <v>3.0</v>
      </c>
      <c r="H34" s="8">
        <v>2.0</v>
      </c>
      <c r="I34" s="9">
        <v>3.0</v>
      </c>
      <c r="J34" s="9">
        <v>2.0</v>
      </c>
      <c r="K34" s="9">
        <v>3.0</v>
      </c>
      <c r="L34" s="9">
        <v>4.0</v>
      </c>
      <c r="M34" s="9">
        <v>4.0</v>
      </c>
      <c r="N34" s="9">
        <v>3.0</v>
      </c>
      <c r="O34" s="9">
        <v>3.0</v>
      </c>
      <c r="P34" s="9">
        <v>3.0</v>
      </c>
      <c r="Q34" s="9">
        <v>4.0</v>
      </c>
      <c r="R34" s="9">
        <v>3.0</v>
      </c>
      <c r="S34" s="9">
        <v>4.0</v>
      </c>
      <c r="T34" s="9">
        <v>3.0</v>
      </c>
      <c r="U34" s="9">
        <v>3.0</v>
      </c>
      <c r="V34" s="9">
        <v>3.0</v>
      </c>
      <c r="W34" s="9">
        <v>3.0</v>
      </c>
      <c r="X34" s="9">
        <v>4.0</v>
      </c>
      <c r="Y34" s="9">
        <v>4.0</v>
      </c>
      <c r="Z34" s="9">
        <v>2.0</v>
      </c>
      <c r="AA34" s="9">
        <v>2.0</v>
      </c>
      <c r="AB34" s="9">
        <v>3.0</v>
      </c>
      <c r="AC34" s="9">
        <v>3.0</v>
      </c>
      <c r="AD34" s="9">
        <v>4.0</v>
      </c>
      <c r="AE34" s="9">
        <v>2.0</v>
      </c>
      <c r="AF34" s="9">
        <v>4.0</v>
      </c>
      <c r="AG34" s="9">
        <v>3.0</v>
      </c>
      <c r="AH34" s="9">
        <v>3.0</v>
      </c>
      <c r="AI34" s="9">
        <v>2.0</v>
      </c>
      <c r="AJ34" s="9">
        <v>3.0</v>
      </c>
      <c r="AK34" s="9">
        <v>3.0</v>
      </c>
      <c r="AL34" s="9">
        <v>2.0</v>
      </c>
      <c r="AM34" s="9">
        <v>2.0</v>
      </c>
      <c r="AN34" s="9">
        <v>2.0</v>
      </c>
      <c r="AO34" s="9">
        <v>3.0</v>
      </c>
      <c r="AP34" s="9">
        <v>3.0</v>
      </c>
      <c r="AQ34" s="9">
        <v>3.0</v>
      </c>
      <c r="AR34" s="9">
        <v>2.0</v>
      </c>
      <c r="AS34" s="9">
        <v>2.0</v>
      </c>
      <c r="AT34" s="9">
        <v>4.0</v>
      </c>
      <c r="AU34" s="9">
        <v>4.0</v>
      </c>
      <c r="AV34" s="9">
        <v>3.0</v>
      </c>
      <c r="AW34" s="9">
        <v>2.0</v>
      </c>
      <c r="AX34" s="9">
        <v>2.0</v>
      </c>
      <c r="AY34" s="9">
        <v>4.0</v>
      </c>
      <c r="AZ34" s="9">
        <v>4.0</v>
      </c>
      <c r="BA34" s="9">
        <v>4.0</v>
      </c>
      <c r="BB34" s="9">
        <v>3.0</v>
      </c>
      <c r="BC34" s="11">
        <f>COUNT(D34:BB34)/50</f>
        <v>1</v>
      </c>
      <c r="BD34" s="8">
        <f t="shared" si="5"/>
        <v>150</v>
      </c>
      <c r="BE34" s="11">
        <f t="shared" si="1"/>
        <v>0.75</v>
      </c>
      <c r="BF34" s="11">
        <f t="shared" si="6"/>
        <v>0.7414583333</v>
      </c>
      <c r="BG34" s="8">
        <f t="shared" si="7"/>
        <v>0</v>
      </c>
      <c r="BH34" s="8" t="str">
        <f t="shared" si="2"/>
        <v>ดี</v>
      </c>
      <c r="BI34" s="8" t="str">
        <f t="array" ref="BI34">IF(BC334=0,"ยังไม่ประเมิน",INDEX($BJ$1:$BQ$1,1,MATCH(MIN(BJ34:BQ34),BJ34:BQ34,0)))</f>
        <v>ยังไม่ประเมิน</v>
      </c>
      <c r="BJ34" s="11">
        <f t="shared" si="8"/>
        <v>0.6785714286</v>
      </c>
      <c r="BK34" s="11">
        <f>SUM(L34:R34)/(7*4)</f>
        <v>0.8571428571</v>
      </c>
      <c r="BL34" s="11">
        <f>SUM(S34:X34)/(6*4)</f>
        <v>0.8333333333</v>
      </c>
      <c r="BM34" s="11">
        <f>SUM(Y34:AE34)/(7*4)</f>
        <v>0.7142857143</v>
      </c>
      <c r="BN34" s="11">
        <f>SUM(AF34:AL34)/(7*4)</f>
        <v>0.7142857143</v>
      </c>
      <c r="BO34" s="11">
        <f t="shared" si="13"/>
        <v>0.6071428571</v>
      </c>
      <c r="BP34" s="11">
        <f t="shared" si="14"/>
        <v>0.75</v>
      </c>
      <c r="BQ34" s="11">
        <f t="shared" si="15"/>
        <v>0.9375</v>
      </c>
      <c r="BR34" s="8"/>
    </row>
    <row r="35" ht="15.75" customHeight="1">
      <c r="A35" s="8" t="s">
        <v>276</v>
      </c>
      <c r="B35" s="8" t="str">
        <f>IFERROR(VLOOKUP(A35,'01_ข้อมูลร้าน'!$A$2:$B$51,2,FALSE),"")</f>
        <v>เทียบจันท์</v>
      </c>
      <c r="C35" s="8" t="s">
        <v>114</v>
      </c>
      <c r="D35" s="8"/>
      <c r="E35" s="9">
        <v>3.0</v>
      </c>
      <c r="F35" s="9">
        <v>2.0</v>
      </c>
      <c r="G35" s="9">
        <v>2.0</v>
      </c>
      <c r="H35" s="9">
        <v>1.0</v>
      </c>
      <c r="I35" s="9">
        <v>1.0</v>
      </c>
      <c r="J35" s="9">
        <v>1.0</v>
      </c>
      <c r="K35" s="9">
        <v>2.0</v>
      </c>
      <c r="L35" s="9">
        <v>2.0</v>
      </c>
      <c r="M35" s="9">
        <v>1.0</v>
      </c>
      <c r="N35" s="9">
        <v>3.0</v>
      </c>
      <c r="O35" s="9">
        <v>0.0</v>
      </c>
      <c r="P35" s="9">
        <v>2.0</v>
      </c>
      <c r="Q35" s="9">
        <v>4.0</v>
      </c>
      <c r="R35" s="9">
        <v>0.0</v>
      </c>
      <c r="S35" s="9">
        <v>4.0</v>
      </c>
      <c r="T35" s="9">
        <v>2.0</v>
      </c>
      <c r="U35" s="9">
        <v>3.0</v>
      </c>
      <c r="V35" s="9">
        <v>1.0</v>
      </c>
      <c r="W35" s="9">
        <v>2.0</v>
      </c>
      <c r="X35" s="9">
        <v>1.0</v>
      </c>
      <c r="Y35" s="9">
        <v>3.0</v>
      </c>
      <c r="Z35" s="9">
        <v>3.0</v>
      </c>
      <c r="AA35" s="9">
        <v>3.0</v>
      </c>
      <c r="AB35" s="9">
        <v>2.0</v>
      </c>
      <c r="AC35" s="9">
        <v>2.0</v>
      </c>
      <c r="AD35" s="9">
        <v>2.0</v>
      </c>
      <c r="AE35" s="9">
        <v>2.0</v>
      </c>
      <c r="AF35" s="9">
        <v>2.0</v>
      </c>
      <c r="AG35" s="9">
        <v>2.0</v>
      </c>
      <c r="AH35" s="9">
        <v>1.0</v>
      </c>
      <c r="AI35" s="9">
        <v>1.0</v>
      </c>
      <c r="AJ35" s="9">
        <v>2.0</v>
      </c>
      <c r="AK35" s="9">
        <v>2.0</v>
      </c>
      <c r="AL35" s="9">
        <v>2.0</v>
      </c>
      <c r="AM35" s="9">
        <v>2.0</v>
      </c>
      <c r="AN35" s="9">
        <v>3.0</v>
      </c>
      <c r="AO35" s="9">
        <v>3.0</v>
      </c>
      <c r="AP35" s="9">
        <v>3.0</v>
      </c>
      <c r="AQ35" s="9">
        <v>3.0</v>
      </c>
      <c r="AR35" s="9">
        <v>3.0</v>
      </c>
      <c r="AS35" s="9">
        <v>3.0</v>
      </c>
      <c r="AT35" s="9">
        <v>2.0</v>
      </c>
      <c r="AU35" s="9">
        <v>2.0</v>
      </c>
      <c r="AV35" s="9">
        <v>1.0</v>
      </c>
      <c r="AW35" s="9">
        <v>2.0</v>
      </c>
      <c r="AX35" s="9">
        <v>2.0</v>
      </c>
      <c r="AY35" s="9">
        <v>3.0</v>
      </c>
      <c r="AZ35" s="9">
        <v>3.0</v>
      </c>
      <c r="BA35" s="9">
        <v>3.0</v>
      </c>
      <c r="BB35" s="9">
        <v>3.0</v>
      </c>
      <c r="BC35" s="11">
        <f t="shared" ref="BC35:BC51" si="16">COUNT(E35:BB35)/50</f>
        <v>1</v>
      </c>
      <c r="BD35" s="8">
        <f t="shared" si="5"/>
        <v>107</v>
      </c>
      <c r="BE35" s="11">
        <f t="shared" si="1"/>
        <v>0.535</v>
      </c>
      <c r="BF35" s="11">
        <f t="shared" si="6"/>
        <v>0.5380952381</v>
      </c>
      <c r="BG35" s="8">
        <f t="shared" si="7"/>
        <v>11</v>
      </c>
      <c r="BH35" s="8" t="str">
        <f t="shared" si="2"/>
        <v>ต้องพัฒนา</v>
      </c>
      <c r="BI35" s="8" t="str">
        <f t="shared" ref="BI35:BI51" si="17">IF(BC35=0,"ยังไม่ประเมิน",INDEX($BJ$1:$BQ$1,1,MATCH(MIN(BJ35:BQ35),BJ35:BQ35,0)))</f>
        <v>มิติ 1</v>
      </c>
      <c r="BJ35" s="11">
        <f t="shared" si="8"/>
        <v>0.4285714286</v>
      </c>
      <c r="BK35" s="11">
        <f t="shared" ref="BK35:BK51" si="18">SUM(L35:R35)/(7*4)</f>
        <v>0.4285714286</v>
      </c>
      <c r="BL35" s="11">
        <f t="shared" ref="BL35:BL51" si="19">SUM(S35:X35)/(6*4)</f>
        <v>0.5416666667</v>
      </c>
      <c r="BM35" s="11">
        <f t="shared" ref="BM35:BM51" si="20">SUM(Y35:AE35)/(7*4)</f>
        <v>0.6071428571</v>
      </c>
      <c r="BN35" s="11">
        <f t="shared" ref="BN35:BN51" si="21">SUM(AF35:AL35)/(7*4)</f>
        <v>0.4285714286</v>
      </c>
      <c r="BO35" s="11">
        <f t="shared" si="13"/>
        <v>0.7142857143</v>
      </c>
      <c r="BP35" s="11">
        <f t="shared" si="14"/>
        <v>0.45</v>
      </c>
      <c r="BQ35" s="11">
        <f t="shared" si="15"/>
        <v>0.75</v>
      </c>
      <c r="BR35" s="8"/>
    </row>
    <row r="36" ht="15.75" customHeight="1">
      <c r="A36" s="8" t="s">
        <v>278</v>
      </c>
      <c r="B36" s="8" t="str">
        <f>IFERROR(VLOOKUP(A36,'01_ข้อมูลร้าน'!$A$2:$B$51,2,FALSE),"")</f>
        <v>The Chanthaboon Coffee กาแฟจันทบูร</v>
      </c>
      <c r="C36" s="8" t="s">
        <v>114</v>
      </c>
      <c r="D36" s="8"/>
      <c r="E36" s="9">
        <v>4.0</v>
      </c>
      <c r="F36" s="9">
        <v>4.0</v>
      </c>
      <c r="G36" s="9">
        <v>4.0</v>
      </c>
      <c r="H36" s="9">
        <v>4.0</v>
      </c>
      <c r="I36" s="9">
        <v>4.0</v>
      </c>
      <c r="J36" s="9">
        <v>3.0</v>
      </c>
      <c r="K36" s="9">
        <v>3.0</v>
      </c>
      <c r="L36" s="9">
        <v>2.0</v>
      </c>
      <c r="M36" s="9">
        <v>3.0</v>
      </c>
      <c r="N36" s="9">
        <v>3.0</v>
      </c>
      <c r="O36" s="9">
        <v>2.0</v>
      </c>
      <c r="P36" s="9">
        <v>2.0</v>
      </c>
      <c r="Q36" s="9">
        <v>4.0</v>
      </c>
      <c r="R36" s="9">
        <v>2.0</v>
      </c>
      <c r="S36" s="9">
        <v>4.0</v>
      </c>
      <c r="T36" s="9">
        <v>4.0</v>
      </c>
      <c r="U36" s="9">
        <v>3.0</v>
      </c>
      <c r="V36" s="9">
        <v>4.0</v>
      </c>
      <c r="W36" s="9">
        <v>3.0</v>
      </c>
      <c r="X36" s="9">
        <v>4.0</v>
      </c>
      <c r="Y36" s="9">
        <v>2.0</v>
      </c>
      <c r="Z36" s="9">
        <v>2.0</v>
      </c>
      <c r="AA36" s="9">
        <v>2.0</v>
      </c>
      <c r="AB36" s="9">
        <v>2.0</v>
      </c>
      <c r="AC36" s="9">
        <v>2.0</v>
      </c>
      <c r="AD36" s="9">
        <v>3.0</v>
      </c>
      <c r="AE36" s="9">
        <v>3.0</v>
      </c>
      <c r="AF36" s="9">
        <v>2.0</v>
      </c>
      <c r="AG36" s="9">
        <v>2.0</v>
      </c>
      <c r="AH36" s="9">
        <v>2.0</v>
      </c>
      <c r="AI36" s="9">
        <v>2.0</v>
      </c>
      <c r="AJ36" s="9">
        <v>2.0</v>
      </c>
      <c r="AK36" s="9">
        <v>2.0</v>
      </c>
      <c r="AL36" s="9">
        <v>3.0</v>
      </c>
      <c r="AM36" s="9">
        <v>2.0</v>
      </c>
      <c r="AN36" s="9">
        <v>2.0</v>
      </c>
      <c r="AO36" s="9">
        <v>2.0</v>
      </c>
      <c r="AP36" s="9">
        <v>2.0</v>
      </c>
      <c r="AQ36" s="9">
        <v>1.0</v>
      </c>
      <c r="AR36" s="9">
        <v>2.0</v>
      </c>
      <c r="AS36" s="9">
        <v>2.0</v>
      </c>
      <c r="AT36" s="9">
        <v>3.0</v>
      </c>
      <c r="AU36" s="9">
        <v>3.0</v>
      </c>
      <c r="AV36" s="9">
        <v>3.0</v>
      </c>
      <c r="AW36" s="9">
        <v>4.0</v>
      </c>
      <c r="AX36" s="9">
        <v>4.0</v>
      </c>
      <c r="AY36" s="9">
        <v>3.0</v>
      </c>
      <c r="AZ36" s="9">
        <v>4.0</v>
      </c>
      <c r="BA36" s="9">
        <v>3.0</v>
      </c>
      <c r="BB36" s="9">
        <v>3.0</v>
      </c>
      <c r="BC36" s="11">
        <f t="shared" si="16"/>
        <v>1</v>
      </c>
      <c r="BD36" s="8">
        <f t="shared" si="5"/>
        <v>140</v>
      </c>
      <c r="BE36" s="11">
        <f t="shared" si="1"/>
        <v>0.7</v>
      </c>
      <c r="BF36" s="11">
        <f t="shared" si="6"/>
        <v>0.6638988095</v>
      </c>
      <c r="BG36" s="8">
        <f t="shared" si="7"/>
        <v>1</v>
      </c>
      <c r="BH36" s="8" t="str">
        <f t="shared" si="2"/>
        <v>ดี</v>
      </c>
      <c r="BI36" s="8" t="str">
        <f t="shared" si="17"/>
        <v>มิติ 6</v>
      </c>
      <c r="BJ36" s="11">
        <f t="shared" si="8"/>
        <v>0.9285714286</v>
      </c>
      <c r="BK36" s="11">
        <f t="shared" si="18"/>
        <v>0.6428571429</v>
      </c>
      <c r="BL36" s="11">
        <f t="shared" si="19"/>
        <v>0.9166666667</v>
      </c>
      <c r="BM36" s="11">
        <f t="shared" si="20"/>
        <v>0.5714285714</v>
      </c>
      <c r="BN36" s="11">
        <f t="shared" si="21"/>
        <v>0.5357142857</v>
      </c>
      <c r="BO36" s="11">
        <f t="shared" si="13"/>
        <v>0.4642857143</v>
      </c>
      <c r="BP36" s="11">
        <f t="shared" si="14"/>
        <v>0.85</v>
      </c>
      <c r="BQ36" s="11">
        <f t="shared" si="15"/>
        <v>0.8125</v>
      </c>
      <c r="BR36" s="8"/>
    </row>
    <row r="37" ht="15.75" customHeight="1">
      <c r="A37" s="8" t="s">
        <v>284</v>
      </c>
      <c r="B37" s="8" t="str">
        <f>IFERROR(VLOOKUP(A37,'01_ข้อมูลร้าน'!$A$2:$B$51,2,FALSE),"")</f>
        <v>Garagecafechan</v>
      </c>
      <c r="C37" s="8" t="s">
        <v>114</v>
      </c>
      <c r="D37" s="8"/>
      <c r="E37" s="9">
        <v>3.0</v>
      </c>
      <c r="F37" s="9">
        <v>3.0</v>
      </c>
      <c r="G37" s="9">
        <v>4.0</v>
      </c>
      <c r="H37" s="9">
        <v>2.0</v>
      </c>
      <c r="I37" s="9">
        <v>4.0</v>
      </c>
      <c r="J37" s="9">
        <v>3.0</v>
      </c>
      <c r="K37" s="9">
        <v>3.0</v>
      </c>
      <c r="L37" s="9">
        <v>3.0</v>
      </c>
      <c r="M37" s="9">
        <v>2.0</v>
      </c>
      <c r="N37" s="9">
        <v>2.0</v>
      </c>
      <c r="O37" s="9">
        <v>1.0</v>
      </c>
      <c r="P37" s="9">
        <v>2.0</v>
      </c>
      <c r="Q37" s="9">
        <v>4.0</v>
      </c>
      <c r="R37" s="9">
        <v>2.0</v>
      </c>
      <c r="S37" s="9">
        <v>4.0</v>
      </c>
      <c r="T37" s="9">
        <v>4.0</v>
      </c>
      <c r="U37" s="9">
        <v>4.0</v>
      </c>
      <c r="V37" s="9">
        <v>4.0</v>
      </c>
      <c r="W37" s="9">
        <v>3.0</v>
      </c>
      <c r="X37" s="9">
        <v>3.0</v>
      </c>
      <c r="Y37" s="9">
        <v>4.0</v>
      </c>
      <c r="Z37" s="9">
        <v>4.0</v>
      </c>
      <c r="AA37" s="9">
        <v>3.0</v>
      </c>
      <c r="AB37" s="9">
        <v>3.0</v>
      </c>
      <c r="AC37" s="9">
        <v>4.0</v>
      </c>
      <c r="AD37" s="9">
        <v>4.0</v>
      </c>
      <c r="AE37" s="9">
        <v>3.0</v>
      </c>
      <c r="AF37" s="9">
        <v>3.0</v>
      </c>
      <c r="AG37" s="9">
        <v>3.0</v>
      </c>
      <c r="AH37" s="9">
        <v>4.0</v>
      </c>
      <c r="AI37" s="9">
        <v>3.0</v>
      </c>
      <c r="AJ37" s="9">
        <v>2.0</v>
      </c>
      <c r="AK37" s="9">
        <v>3.0</v>
      </c>
      <c r="AL37" s="9">
        <v>4.0</v>
      </c>
      <c r="AM37" s="9">
        <v>4.0</v>
      </c>
      <c r="AN37" s="9">
        <v>4.0</v>
      </c>
      <c r="AO37" s="9">
        <v>3.0</v>
      </c>
      <c r="AP37" s="9">
        <v>4.0</v>
      </c>
      <c r="AQ37" s="9">
        <v>4.0</v>
      </c>
      <c r="AR37" s="9">
        <v>4.0</v>
      </c>
      <c r="AS37" s="9">
        <v>4.0</v>
      </c>
      <c r="AT37" s="9">
        <v>3.0</v>
      </c>
      <c r="AU37" s="9">
        <v>3.0</v>
      </c>
      <c r="AV37" s="9">
        <v>3.0</v>
      </c>
      <c r="AW37" s="9">
        <v>1.0</v>
      </c>
      <c r="AX37" s="9">
        <v>3.0</v>
      </c>
      <c r="AY37" s="9">
        <v>4.0</v>
      </c>
      <c r="AZ37" s="9">
        <v>4.0</v>
      </c>
      <c r="BA37" s="9">
        <v>4.0</v>
      </c>
      <c r="BB37" s="9">
        <v>4.0</v>
      </c>
      <c r="BC37" s="11">
        <f t="shared" si="16"/>
        <v>1</v>
      </c>
      <c r="BD37" s="8">
        <f t="shared" si="5"/>
        <v>163</v>
      </c>
      <c r="BE37" s="11">
        <f t="shared" si="1"/>
        <v>0.815</v>
      </c>
      <c r="BF37" s="11">
        <f t="shared" si="6"/>
        <v>0.820952381</v>
      </c>
      <c r="BG37" s="8">
        <f t="shared" si="7"/>
        <v>2</v>
      </c>
      <c r="BH37" s="8" t="str">
        <f t="shared" si="2"/>
        <v>ดีมาก</v>
      </c>
      <c r="BI37" s="8" t="str">
        <f t="shared" si="17"/>
        <v>มิติ 2</v>
      </c>
      <c r="BJ37" s="11">
        <f t="shared" si="8"/>
        <v>0.7857142857</v>
      </c>
      <c r="BK37" s="11">
        <f t="shared" si="18"/>
        <v>0.5714285714</v>
      </c>
      <c r="BL37" s="11">
        <f t="shared" si="19"/>
        <v>0.9166666667</v>
      </c>
      <c r="BM37" s="11">
        <f t="shared" si="20"/>
        <v>0.8928571429</v>
      </c>
      <c r="BN37" s="11">
        <f t="shared" si="21"/>
        <v>0.7857142857</v>
      </c>
      <c r="BO37" s="11">
        <f t="shared" si="13"/>
        <v>0.9642857143</v>
      </c>
      <c r="BP37" s="11">
        <f t="shared" si="14"/>
        <v>0.65</v>
      </c>
      <c r="BQ37" s="11">
        <f t="shared" si="15"/>
        <v>1</v>
      </c>
      <c r="BR37" s="8"/>
    </row>
    <row r="38" ht="15.75" customHeight="1">
      <c r="A38" s="8" t="s">
        <v>286</v>
      </c>
      <c r="B38" s="8" t="str">
        <f>IFERROR(VLOOKUP(A38,'01_ข้อมูลร้าน'!$A$2:$B$51,2,FALSE),"")</f>
        <v>จันทรโภชนา</v>
      </c>
      <c r="C38" s="8" t="s">
        <v>114</v>
      </c>
      <c r="D38" s="8"/>
      <c r="E38" s="9">
        <v>4.0</v>
      </c>
      <c r="F38" s="9">
        <v>3.0</v>
      </c>
      <c r="G38" s="9">
        <v>3.0</v>
      </c>
      <c r="H38" s="9">
        <v>4.0</v>
      </c>
      <c r="I38" s="9">
        <v>4.0</v>
      </c>
      <c r="J38" s="9">
        <v>4.0</v>
      </c>
      <c r="K38" s="9">
        <v>3.0</v>
      </c>
      <c r="L38" s="9">
        <v>3.0</v>
      </c>
      <c r="M38" s="9">
        <v>4.0</v>
      </c>
      <c r="N38" s="9">
        <v>3.0</v>
      </c>
      <c r="O38" s="9">
        <v>4.0</v>
      </c>
      <c r="P38" s="9">
        <v>4.0</v>
      </c>
      <c r="Q38" s="9">
        <v>4.0</v>
      </c>
      <c r="R38" s="9">
        <v>3.0</v>
      </c>
      <c r="S38" s="9">
        <v>4.0</v>
      </c>
      <c r="T38" s="9">
        <v>4.0</v>
      </c>
      <c r="U38" s="9">
        <v>4.0</v>
      </c>
      <c r="V38" s="9">
        <v>4.0</v>
      </c>
      <c r="W38" s="9">
        <v>4.0</v>
      </c>
      <c r="X38" s="9">
        <v>4.0</v>
      </c>
      <c r="Y38" s="9">
        <v>3.0</v>
      </c>
      <c r="Z38" s="9">
        <v>4.0</v>
      </c>
      <c r="AA38" s="9">
        <v>4.0</v>
      </c>
      <c r="AB38" s="9">
        <v>3.0</v>
      </c>
      <c r="AC38" s="9">
        <v>3.0</v>
      </c>
      <c r="AD38" s="9">
        <v>4.0</v>
      </c>
      <c r="AE38" s="9">
        <v>3.0</v>
      </c>
      <c r="AF38" s="9">
        <v>4.0</v>
      </c>
      <c r="AG38" s="9">
        <v>3.0</v>
      </c>
      <c r="AH38" s="9">
        <v>3.0</v>
      </c>
      <c r="AI38" s="9">
        <v>3.0</v>
      </c>
      <c r="AJ38" s="9">
        <v>3.0</v>
      </c>
      <c r="AK38" s="9">
        <v>4.0</v>
      </c>
      <c r="AL38" s="9">
        <v>4.0</v>
      </c>
      <c r="AM38" s="9">
        <v>3.0</v>
      </c>
      <c r="AN38" s="9">
        <v>3.0</v>
      </c>
      <c r="AO38" s="9">
        <v>3.0</v>
      </c>
      <c r="AP38" s="9">
        <v>3.0</v>
      </c>
      <c r="AQ38" s="9">
        <v>4.0</v>
      </c>
      <c r="AR38" s="9">
        <v>3.0</v>
      </c>
      <c r="AS38" s="9">
        <v>4.0</v>
      </c>
      <c r="AT38" s="9">
        <v>4.0</v>
      </c>
      <c r="AU38" s="9">
        <v>4.0</v>
      </c>
      <c r="AV38" s="9">
        <v>4.0</v>
      </c>
      <c r="AW38" s="9">
        <v>4.0</v>
      </c>
      <c r="AX38" s="9">
        <v>4.0</v>
      </c>
      <c r="AY38" s="9">
        <v>4.0</v>
      </c>
      <c r="AZ38" s="9">
        <v>3.0</v>
      </c>
      <c r="BA38" s="9">
        <v>4.0</v>
      </c>
      <c r="BB38" s="9">
        <v>4.0</v>
      </c>
      <c r="BC38" s="11">
        <f t="shared" si="16"/>
        <v>1</v>
      </c>
      <c r="BD38" s="8">
        <f t="shared" si="5"/>
        <v>180</v>
      </c>
      <c r="BE38" s="11">
        <f t="shared" si="1"/>
        <v>0.9</v>
      </c>
      <c r="BF38" s="11">
        <f t="shared" si="6"/>
        <v>0.8874107143</v>
      </c>
      <c r="BG38" s="8">
        <f t="shared" si="7"/>
        <v>0</v>
      </c>
      <c r="BH38" s="8" t="str">
        <f t="shared" si="2"/>
        <v>ดีมาก</v>
      </c>
      <c r="BI38" s="8" t="str">
        <f t="shared" si="17"/>
        <v>มิติ 6</v>
      </c>
      <c r="BJ38" s="11">
        <f t="shared" si="8"/>
        <v>0.8928571429</v>
      </c>
      <c r="BK38" s="11">
        <f t="shared" si="18"/>
        <v>0.8928571429</v>
      </c>
      <c r="BL38" s="11">
        <f t="shared" si="19"/>
        <v>1</v>
      </c>
      <c r="BM38" s="11">
        <f t="shared" si="20"/>
        <v>0.8571428571</v>
      </c>
      <c r="BN38" s="11">
        <f t="shared" si="21"/>
        <v>0.8571428571</v>
      </c>
      <c r="BO38" s="11">
        <f t="shared" si="13"/>
        <v>0.8214285714</v>
      </c>
      <c r="BP38" s="11">
        <f t="shared" si="14"/>
        <v>1</v>
      </c>
      <c r="BQ38" s="11">
        <f t="shared" si="15"/>
        <v>0.9375</v>
      </c>
      <c r="BR38" s="8"/>
    </row>
    <row r="39" ht="15.75" customHeight="1">
      <c r="A39" s="8" t="s">
        <v>291</v>
      </c>
      <c r="B39" s="8" t="str">
        <f>IFERROR(VLOOKUP(A39,'01_ข้อมูลร้าน'!$A$2:$B$51,2,FALSE),"")</f>
        <v>Grizzly Gelato</v>
      </c>
      <c r="C39" s="8" t="s">
        <v>114</v>
      </c>
      <c r="D39" s="8"/>
      <c r="E39" s="9">
        <v>3.0</v>
      </c>
      <c r="F39" s="9">
        <v>4.0</v>
      </c>
      <c r="G39" s="9">
        <v>4.0</v>
      </c>
      <c r="H39" s="9">
        <v>1.0</v>
      </c>
      <c r="I39" s="9">
        <v>2.0</v>
      </c>
      <c r="J39" s="9">
        <v>3.0</v>
      </c>
      <c r="K39" s="9">
        <v>3.0</v>
      </c>
      <c r="L39" s="9">
        <v>3.0</v>
      </c>
      <c r="M39" s="9">
        <v>2.0</v>
      </c>
      <c r="N39" s="9">
        <v>2.0</v>
      </c>
      <c r="O39" s="9">
        <v>3.0</v>
      </c>
      <c r="P39" s="9">
        <v>3.0</v>
      </c>
      <c r="Q39" s="9">
        <v>2.0</v>
      </c>
      <c r="R39" s="9">
        <v>4.0</v>
      </c>
      <c r="S39" s="9">
        <v>3.0</v>
      </c>
      <c r="T39" s="9">
        <v>2.0</v>
      </c>
      <c r="U39" s="9">
        <v>2.0</v>
      </c>
      <c r="V39" s="9">
        <v>4.0</v>
      </c>
      <c r="W39" s="9">
        <v>2.0</v>
      </c>
      <c r="X39" s="9">
        <v>4.0</v>
      </c>
      <c r="Y39" s="9">
        <v>4.0</v>
      </c>
      <c r="Z39" s="9">
        <v>3.0</v>
      </c>
      <c r="AA39" s="9">
        <v>2.0</v>
      </c>
      <c r="AB39" s="9">
        <v>2.0</v>
      </c>
      <c r="AC39" s="9">
        <v>3.0</v>
      </c>
      <c r="AD39" s="9">
        <v>2.0</v>
      </c>
      <c r="AE39" s="9">
        <v>2.0</v>
      </c>
      <c r="AF39" s="9">
        <v>2.0</v>
      </c>
      <c r="AG39" s="9">
        <v>2.0</v>
      </c>
      <c r="AH39" s="9">
        <v>3.0</v>
      </c>
      <c r="AI39" s="9">
        <v>2.0</v>
      </c>
      <c r="AJ39" s="9">
        <v>3.0</v>
      </c>
      <c r="AK39" s="9">
        <v>3.0</v>
      </c>
      <c r="AL39" s="9">
        <v>2.0</v>
      </c>
      <c r="AM39" s="9">
        <v>4.0</v>
      </c>
      <c r="AN39" s="9">
        <v>4.0</v>
      </c>
      <c r="AO39" s="9">
        <v>4.0</v>
      </c>
      <c r="AP39" s="9">
        <v>4.0</v>
      </c>
      <c r="AQ39" s="9">
        <v>4.0</v>
      </c>
      <c r="AR39" s="9">
        <v>2.0</v>
      </c>
      <c r="AS39" s="9">
        <v>2.0</v>
      </c>
      <c r="AT39" s="9">
        <v>2.0</v>
      </c>
      <c r="AU39" s="9">
        <v>3.0</v>
      </c>
      <c r="AV39" s="9">
        <v>2.0</v>
      </c>
      <c r="AW39" s="9">
        <v>3.0</v>
      </c>
      <c r="AX39" s="9">
        <v>3.0</v>
      </c>
      <c r="AY39" s="9">
        <v>4.0</v>
      </c>
      <c r="AZ39" s="9">
        <v>4.0</v>
      </c>
      <c r="BA39" s="9">
        <v>4.0</v>
      </c>
      <c r="BB39" s="9">
        <v>4.0</v>
      </c>
      <c r="BC39" s="11">
        <f t="shared" si="16"/>
        <v>1</v>
      </c>
      <c r="BD39" s="8">
        <f t="shared" si="5"/>
        <v>144</v>
      </c>
      <c r="BE39" s="11">
        <f t="shared" si="1"/>
        <v>0.72</v>
      </c>
      <c r="BF39" s="11">
        <f t="shared" si="6"/>
        <v>0.7201190476</v>
      </c>
      <c r="BG39" s="8">
        <f t="shared" si="7"/>
        <v>1</v>
      </c>
      <c r="BH39" s="8" t="str">
        <f t="shared" si="2"/>
        <v>ดี</v>
      </c>
      <c r="BI39" s="8" t="str">
        <f t="shared" si="17"/>
        <v>มิติ 5</v>
      </c>
      <c r="BJ39" s="11">
        <f t="shared" si="8"/>
        <v>0.7142857143</v>
      </c>
      <c r="BK39" s="11">
        <f t="shared" si="18"/>
        <v>0.6785714286</v>
      </c>
      <c r="BL39" s="11">
        <f t="shared" si="19"/>
        <v>0.7083333333</v>
      </c>
      <c r="BM39" s="11">
        <f t="shared" si="20"/>
        <v>0.6428571429</v>
      </c>
      <c r="BN39" s="11">
        <f t="shared" si="21"/>
        <v>0.6071428571</v>
      </c>
      <c r="BO39" s="11">
        <f t="shared" si="13"/>
        <v>0.8571428571</v>
      </c>
      <c r="BP39" s="11">
        <f t="shared" si="14"/>
        <v>0.65</v>
      </c>
      <c r="BQ39" s="11">
        <f t="shared" si="15"/>
        <v>1</v>
      </c>
      <c r="BR39" s="8"/>
    </row>
    <row r="40" ht="15.75" customHeight="1">
      <c r="A40" s="8" t="s">
        <v>296</v>
      </c>
      <c r="B40" s="8" t="str">
        <f>IFERROR(VLOOKUP(A40,'01_ข้อมูลร้าน'!$A$2:$B$51,2,FALSE),"")</f>
        <v>ครัวตามธาตุ</v>
      </c>
      <c r="C40" s="8" t="s">
        <v>114</v>
      </c>
      <c r="D40" s="8"/>
      <c r="E40" s="9">
        <v>1.0</v>
      </c>
      <c r="F40" s="9">
        <v>0.0</v>
      </c>
      <c r="G40" s="9">
        <v>1.0</v>
      </c>
      <c r="H40" s="9">
        <v>0.0</v>
      </c>
      <c r="I40" s="9">
        <v>1.0</v>
      </c>
      <c r="J40" s="9">
        <v>1.0</v>
      </c>
      <c r="K40" s="9">
        <v>2.0</v>
      </c>
      <c r="L40" s="9">
        <v>2.0</v>
      </c>
      <c r="M40" s="9">
        <v>3.0</v>
      </c>
      <c r="N40" s="9">
        <v>0.0</v>
      </c>
      <c r="O40" s="9">
        <v>1.0</v>
      </c>
      <c r="P40" s="9">
        <v>0.0</v>
      </c>
      <c r="Q40" s="9">
        <v>0.0</v>
      </c>
      <c r="R40" s="9">
        <v>1.0</v>
      </c>
      <c r="S40" s="9">
        <v>0.0</v>
      </c>
      <c r="T40" s="9">
        <v>1.0</v>
      </c>
      <c r="U40" s="9">
        <v>0.0</v>
      </c>
      <c r="V40" s="9">
        <v>1.0</v>
      </c>
      <c r="W40" s="9">
        <v>2.0</v>
      </c>
      <c r="X40" s="9">
        <v>3.0</v>
      </c>
      <c r="Y40" s="9">
        <v>2.0</v>
      </c>
      <c r="Z40" s="9">
        <v>0.0</v>
      </c>
      <c r="AA40" s="9">
        <v>0.0</v>
      </c>
      <c r="AB40" s="9">
        <v>0.0</v>
      </c>
      <c r="AC40" s="9">
        <v>1.0</v>
      </c>
      <c r="AD40" s="9">
        <v>1.0</v>
      </c>
      <c r="AE40" s="9">
        <v>1.0</v>
      </c>
      <c r="AF40" s="9">
        <v>1.0</v>
      </c>
      <c r="AG40" s="9">
        <v>4.0</v>
      </c>
      <c r="AH40" s="9">
        <v>3.0</v>
      </c>
      <c r="AI40" s="9">
        <v>3.0</v>
      </c>
      <c r="AJ40" s="9">
        <v>2.0</v>
      </c>
      <c r="AK40" s="9">
        <v>2.0</v>
      </c>
      <c r="AL40" s="9">
        <v>2.0</v>
      </c>
      <c r="AM40" s="9">
        <v>3.0</v>
      </c>
      <c r="AN40" s="9">
        <v>3.0</v>
      </c>
      <c r="AO40" s="9">
        <v>2.0</v>
      </c>
      <c r="AP40" s="9">
        <v>2.0</v>
      </c>
      <c r="AQ40" s="9">
        <v>2.0</v>
      </c>
      <c r="AR40" s="9">
        <v>3.0</v>
      </c>
      <c r="AS40" s="9">
        <v>3.0</v>
      </c>
      <c r="AT40" s="9">
        <v>4.0</v>
      </c>
      <c r="AU40" s="9">
        <v>2.0</v>
      </c>
      <c r="AV40" s="9">
        <v>4.0</v>
      </c>
      <c r="AW40" s="9">
        <v>3.0</v>
      </c>
      <c r="AX40" s="9">
        <v>4.0</v>
      </c>
      <c r="AY40" s="9">
        <v>1.0</v>
      </c>
      <c r="AZ40" s="9">
        <v>0.0</v>
      </c>
      <c r="BA40" s="9">
        <v>1.0</v>
      </c>
      <c r="BB40" s="9">
        <v>1.0</v>
      </c>
      <c r="BC40" s="11">
        <f t="shared" si="16"/>
        <v>1</v>
      </c>
      <c r="BD40" s="8">
        <f t="shared" si="5"/>
        <v>80</v>
      </c>
      <c r="BE40" s="11">
        <f t="shared" si="1"/>
        <v>0.4</v>
      </c>
      <c r="BF40" s="11">
        <f t="shared" si="6"/>
        <v>0.4083630952</v>
      </c>
      <c r="BG40" s="8">
        <f t="shared" si="7"/>
        <v>26</v>
      </c>
      <c r="BH40" s="8" t="str">
        <f t="shared" si="2"/>
        <v>เร่งแก้ไข</v>
      </c>
      <c r="BI40" s="8" t="str">
        <f t="shared" si="17"/>
        <v>มิติ 4</v>
      </c>
      <c r="BJ40" s="11">
        <f t="shared" si="8"/>
        <v>0.2142857143</v>
      </c>
      <c r="BK40" s="11">
        <f t="shared" si="18"/>
        <v>0.25</v>
      </c>
      <c r="BL40" s="11">
        <f t="shared" si="19"/>
        <v>0.2916666667</v>
      </c>
      <c r="BM40" s="11">
        <f t="shared" si="20"/>
        <v>0.1785714286</v>
      </c>
      <c r="BN40" s="11">
        <f t="shared" si="21"/>
        <v>0.6071428571</v>
      </c>
      <c r="BO40" s="11">
        <f t="shared" si="13"/>
        <v>0.6428571429</v>
      </c>
      <c r="BP40" s="11">
        <f t="shared" si="14"/>
        <v>0.85</v>
      </c>
      <c r="BQ40" s="11">
        <f t="shared" si="15"/>
        <v>0.1875</v>
      </c>
      <c r="BR40" s="8"/>
    </row>
    <row r="41" ht="15.75" customHeight="1">
      <c r="A41" s="8" t="s">
        <v>298</v>
      </c>
      <c r="B41" s="8" t="str">
        <f>IFERROR(VLOOKUP(A41,'01_ข้อมูลร้าน'!$A$2:$B$51,2,FALSE),"")</f>
        <v>จิน ข้าวมันไก่สไตล์สิงคโปร์</v>
      </c>
      <c r="C41" s="8" t="s">
        <v>114</v>
      </c>
      <c r="D41" s="8"/>
      <c r="E41" s="9">
        <v>4.0</v>
      </c>
      <c r="F41" s="9">
        <v>3.0</v>
      </c>
      <c r="G41" s="9">
        <v>4.0</v>
      </c>
      <c r="H41" s="9">
        <v>2.0</v>
      </c>
      <c r="I41" s="9">
        <v>2.0</v>
      </c>
      <c r="J41" s="9">
        <v>3.0</v>
      </c>
      <c r="K41" s="9">
        <v>3.0</v>
      </c>
      <c r="L41" s="9">
        <v>3.0</v>
      </c>
      <c r="M41" s="9">
        <v>3.0</v>
      </c>
      <c r="N41" s="9">
        <v>3.0</v>
      </c>
      <c r="O41" s="9">
        <v>1.0</v>
      </c>
      <c r="P41" s="9">
        <v>3.0</v>
      </c>
      <c r="Q41" s="9">
        <v>4.0</v>
      </c>
      <c r="R41" s="9">
        <v>1.0</v>
      </c>
      <c r="S41" s="9">
        <v>4.0</v>
      </c>
      <c r="T41" s="9">
        <v>4.0</v>
      </c>
      <c r="U41" s="9">
        <v>4.0</v>
      </c>
      <c r="V41" s="9">
        <v>3.0</v>
      </c>
      <c r="W41" s="9">
        <v>4.0</v>
      </c>
      <c r="X41" s="9">
        <v>0.0</v>
      </c>
      <c r="Y41" s="9">
        <v>3.0</v>
      </c>
      <c r="Z41" s="9">
        <v>3.0</v>
      </c>
      <c r="AA41" s="9">
        <v>4.0</v>
      </c>
      <c r="AB41" s="9">
        <v>3.0</v>
      </c>
      <c r="AC41" s="9">
        <v>2.0</v>
      </c>
      <c r="AD41" s="9">
        <v>4.0</v>
      </c>
      <c r="AE41" s="9">
        <v>3.0</v>
      </c>
      <c r="AF41" s="9">
        <v>3.0</v>
      </c>
      <c r="AG41" s="9">
        <v>4.0</v>
      </c>
      <c r="AH41" s="9">
        <v>4.0</v>
      </c>
      <c r="AI41" s="9">
        <v>4.0</v>
      </c>
      <c r="AJ41" s="9">
        <v>4.0</v>
      </c>
      <c r="AK41" s="9">
        <v>3.0</v>
      </c>
      <c r="AL41" s="9">
        <v>4.0</v>
      </c>
      <c r="AM41" s="9">
        <v>3.0</v>
      </c>
      <c r="AN41" s="9">
        <v>3.0</v>
      </c>
      <c r="AO41" s="9">
        <v>4.0</v>
      </c>
      <c r="AP41" s="9">
        <v>3.0</v>
      </c>
      <c r="AQ41" s="9">
        <v>4.0</v>
      </c>
      <c r="AR41" s="9">
        <v>4.0</v>
      </c>
      <c r="AS41" s="9">
        <v>3.0</v>
      </c>
      <c r="AT41" s="9">
        <v>3.0</v>
      </c>
      <c r="AU41" s="9">
        <v>4.0</v>
      </c>
      <c r="AV41" s="9">
        <v>3.0</v>
      </c>
      <c r="AW41" s="9">
        <v>1.0</v>
      </c>
      <c r="AX41" s="9">
        <v>2.0</v>
      </c>
      <c r="AY41" s="9">
        <v>3.0</v>
      </c>
      <c r="AZ41" s="9">
        <v>4.0</v>
      </c>
      <c r="BA41" s="9">
        <v>4.0</v>
      </c>
      <c r="BB41" s="9">
        <v>4.0</v>
      </c>
      <c r="BC41" s="11">
        <f t="shared" si="16"/>
        <v>1</v>
      </c>
      <c r="BD41" s="8">
        <f t="shared" si="5"/>
        <v>158</v>
      </c>
      <c r="BE41" s="11">
        <f t="shared" si="1"/>
        <v>0.79</v>
      </c>
      <c r="BF41" s="11">
        <f t="shared" si="6"/>
        <v>0.8058630952</v>
      </c>
      <c r="BG41" s="8">
        <f t="shared" si="7"/>
        <v>4</v>
      </c>
      <c r="BH41" s="8" t="str">
        <f t="shared" si="2"/>
        <v>ดีมาก</v>
      </c>
      <c r="BI41" s="8" t="str">
        <f t="shared" si="17"/>
        <v>มิติ 2</v>
      </c>
      <c r="BJ41" s="11">
        <f t="shared" si="8"/>
        <v>0.75</v>
      </c>
      <c r="BK41" s="11">
        <f t="shared" si="18"/>
        <v>0.6428571429</v>
      </c>
      <c r="BL41" s="11">
        <f t="shared" si="19"/>
        <v>0.7916666667</v>
      </c>
      <c r="BM41" s="11">
        <f t="shared" si="20"/>
        <v>0.7857142857</v>
      </c>
      <c r="BN41" s="11">
        <f t="shared" si="21"/>
        <v>0.9285714286</v>
      </c>
      <c r="BO41" s="11">
        <f t="shared" si="13"/>
        <v>0.8571428571</v>
      </c>
      <c r="BP41" s="11">
        <f t="shared" si="14"/>
        <v>0.65</v>
      </c>
      <c r="BQ41" s="11">
        <f t="shared" si="15"/>
        <v>0.9375</v>
      </c>
      <c r="BR41" s="8"/>
    </row>
    <row r="42" ht="15.75" customHeight="1">
      <c r="A42" s="8" t="s">
        <v>304</v>
      </c>
      <c r="B42" s="8" t="str">
        <f>IFERROR(VLOOKUP(A42,'01_ข้อมูลร้าน'!$A$2:$B$51,2,FALSE),"")</f>
        <v>สุขทุกวัน คาเฟ่</v>
      </c>
      <c r="C42" s="8" t="s">
        <v>114</v>
      </c>
      <c r="D42" s="8"/>
      <c r="E42" s="9">
        <v>4.0</v>
      </c>
      <c r="F42" s="9">
        <v>2.0</v>
      </c>
      <c r="G42" s="9">
        <v>2.0</v>
      </c>
      <c r="H42" s="9">
        <v>3.0</v>
      </c>
      <c r="I42" s="9">
        <v>2.0</v>
      </c>
      <c r="J42" s="9">
        <v>2.0</v>
      </c>
      <c r="K42" s="9">
        <v>3.0</v>
      </c>
      <c r="L42" s="9">
        <v>3.0</v>
      </c>
      <c r="M42" s="9">
        <v>2.0</v>
      </c>
      <c r="N42" s="9">
        <v>1.0</v>
      </c>
      <c r="O42" s="9">
        <v>2.0</v>
      </c>
      <c r="P42" s="9">
        <v>2.0</v>
      </c>
      <c r="Q42" s="9">
        <v>4.0</v>
      </c>
      <c r="R42" s="9">
        <v>1.0</v>
      </c>
      <c r="S42" s="9">
        <v>4.0</v>
      </c>
      <c r="T42" s="9">
        <v>3.0</v>
      </c>
      <c r="U42" s="9">
        <v>3.0</v>
      </c>
      <c r="V42" s="9">
        <v>4.0</v>
      </c>
      <c r="W42" s="9">
        <v>3.0</v>
      </c>
      <c r="X42" s="9">
        <v>3.0</v>
      </c>
      <c r="Y42" s="9">
        <v>3.0</v>
      </c>
      <c r="Z42" s="9">
        <v>3.0</v>
      </c>
      <c r="AA42" s="9">
        <v>3.0</v>
      </c>
      <c r="AB42" s="9">
        <v>2.0</v>
      </c>
      <c r="AC42" s="9">
        <v>3.0</v>
      </c>
      <c r="AD42" s="9">
        <v>3.0</v>
      </c>
      <c r="AE42" s="9">
        <v>3.0</v>
      </c>
      <c r="AF42" s="9">
        <v>2.0</v>
      </c>
      <c r="AG42" s="9">
        <v>3.0</v>
      </c>
      <c r="AH42" s="9">
        <v>3.0</v>
      </c>
      <c r="AI42" s="9">
        <v>3.0</v>
      </c>
      <c r="AJ42" s="9">
        <v>4.0</v>
      </c>
      <c r="AK42" s="9">
        <v>4.0</v>
      </c>
      <c r="AL42" s="9">
        <v>4.0</v>
      </c>
      <c r="AM42" s="9">
        <v>3.0</v>
      </c>
      <c r="AN42" s="9">
        <v>3.0</v>
      </c>
      <c r="AO42" s="9">
        <v>3.0</v>
      </c>
      <c r="AP42" s="9">
        <v>3.0</v>
      </c>
      <c r="AQ42" s="9">
        <v>3.0</v>
      </c>
      <c r="AR42" s="9">
        <v>3.0</v>
      </c>
      <c r="AS42" s="9">
        <v>4.0</v>
      </c>
      <c r="AT42" s="9">
        <v>3.0</v>
      </c>
      <c r="AU42" s="9">
        <v>4.0</v>
      </c>
      <c r="AV42" s="9">
        <v>3.0</v>
      </c>
      <c r="AW42" s="9">
        <v>4.0</v>
      </c>
      <c r="AX42" s="9">
        <v>4.0</v>
      </c>
      <c r="AY42" s="9">
        <v>4.0</v>
      </c>
      <c r="AZ42" s="9">
        <v>4.0</v>
      </c>
      <c r="BA42" s="9">
        <v>4.0</v>
      </c>
      <c r="BB42" s="9">
        <v>4.0</v>
      </c>
      <c r="BC42" s="11">
        <f t="shared" si="16"/>
        <v>1</v>
      </c>
      <c r="BD42" s="8">
        <f t="shared" si="5"/>
        <v>152</v>
      </c>
      <c r="BE42" s="11">
        <f t="shared" si="1"/>
        <v>0.76</v>
      </c>
      <c r="BF42" s="11">
        <f t="shared" si="6"/>
        <v>0.7544047619</v>
      </c>
      <c r="BG42" s="8">
        <f t="shared" si="7"/>
        <v>2</v>
      </c>
      <c r="BH42" s="8" t="str">
        <f t="shared" si="2"/>
        <v>ดี</v>
      </c>
      <c r="BI42" s="8" t="str">
        <f t="shared" si="17"/>
        <v>มิติ 2</v>
      </c>
      <c r="BJ42" s="11">
        <f t="shared" si="8"/>
        <v>0.6428571429</v>
      </c>
      <c r="BK42" s="11">
        <f t="shared" si="18"/>
        <v>0.5357142857</v>
      </c>
      <c r="BL42" s="11">
        <f t="shared" si="19"/>
        <v>0.8333333333</v>
      </c>
      <c r="BM42" s="11">
        <f t="shared" si="20"/>
        <v>0.7142857143</v>
      </c>
      <c r="BN42" s="11">
        <f t="shared" si="21"/>
        <v>0.8214285714</v>
      </c>
      <c r="BO42" s="11">
        <f t="shared" si="13"/>
        <v>0.7857142857</v>
      </c>
      <c r="BP42" s="11">
        <f t="shared" si="14"/>
        <v>0.9</v>
      </c>
      <c r="BQ42" s="11">
        <f t="shared" si="15"/>
        <v>1</v>
      </c>
      <c r="BR42" s="8"/>
    </row>
    <row r="43" ht="15.75" customHeight="1">
      <c r="A43" s="8" t="s">
        <v>310</v>
      </c>
      <c r="B43" s="8" t="str">
        <f>IFERROR(VLOOKUP(A43,'01_ข้อมูลร้าน'!$A$2:$B$51,2,FALSE),"")</f>
        <v>เลย เดอ ลอง</v>
      </c>
      <c r="C43" s="8" t="s">
        <v>114</v>
      </c>
      <c r="D43" s="8"/>
      <c r="E43" s="9">
        <v>3.0</v>
      </c>
      <c r="F43" s="9">
        <v>3.0</v>
      </c>
      <c r="G43" s="9">
        <v>3.0</v>
      </c>
      <c r="H43" s="9">
        <v>3.0</v>
      </c>
      <c r="I43" s="9">
        <v>2.0</v>
      </c>
      <c r="J43" s="9">
        <v>2.0</v>
      </c>
      <c r="K43" s="9">
        <v>3.0</v>
      </c>
      <c r="L43" s="9">
        <v>3.0</v>
      </c>
      <c r="M43" s="9">
        <v>2.0</v>
      </c>
      <c r="N43" s="9">
        <v>3.0</v>
      </c>
      <c r="O43" s="9">
        <v>3.0</v>
      </c>
      <c r="P43" s="9">
        <v>3.0</v>
      </c>
      <c r="Q43" s="9">
        <v>4.0</v>
      </c>
      <c r="R43" s="9">
        <v>3.0</v>
      </c>
      <c r="S43" s="9">
        <v>3.0</v>
      </c>
      <c r="T43" s="9">
        <v>3.0</v>
      </c>
      <c r="U43" s="9">
        <v>4.0</v>
      </c>
      <c r="V43" s="9">
        <v>2.0</v>
      </c>
      <c r="W43" s="9">
        <v>4.0</v>
      </c>
      <c r="X43" s="9">
        <v>2.0</v>
      </c>
      <c r="Y43" s="9">
        <v>3.0</v>
      </c>
      <c r="Z43" s="9">
        <v>4.0</v>
      </c>
      <c r="AA43" s="9">
        <v>4.0</v>
      </c>
      <c r="AB43" s="9">
        <v>3.0</v>
      </c>
      <c r="AC43" s="9">
        <v>2.0</v>
      </c>
      <c r="AD43" s="9">
        <v>4.0</v>
      </c>
      <c r="AE43" s="9">
        <v>3.0</v>
      </c>
      <c r="AF43" s="9">
        <v>4.0</v>
      </c>
      <c r="AG43" s="9">
        <v>4.0</v>
      </c>
      <c r="AH43" s="9">
        <v>3.0</v>
      </c>
      <c r="AI43" s="9">
        <v>4.0</v>
      </c>
      <c r="AJ43" s="9">
        <v>4.0</v>
      </c>
      <c r="AK43" s="9">
        <v>3.0</v>
      </c>
      <c r="AL43" s="9">
        <v>3.0</v>
      </c>
      <c r="AM43" s="9">
        <v>2.0</v>
      </c>
      <c r="AN43" s="9">
        <v>2.0</v>
      </c>
      <c r="AO43" s="9">
        <v>3.0</v>
      </c>
      <c r="AP43" s="9">
        <v>3.0</v>
      </c>
      <c r="AQ43" s="9">
        <v>3.0</v>
      </c>
      <c r="AR43" s="9">
        <v>4.0</v>
      </c>
      <c r="AS43" s="9">
        <v>3.0</v>
      </c>
      <c r="AT43" s="9">
        <v>3.0</v>
      </c>
      <c r="AU43" s="9">
        <v>3.0</v>
      </c>
      <c r="AV43" s="9">
        <v>3.0</v>
      </c>
      <c r="AW43" s="9">
        <v>2.0</v>
      </c>
      <c r="AX43" s="9">
        <v>1.0</v>
      </c>
      <c r="AY43" s="9">
        <v>3.0</v>
      </c>
      <c r="AZ43" s="9">
        <v>3.0</v>
      </c>
      <c r="BA43" s="9">
        <v>2.0</v>
      </c>
      <c r="BB43" s="9">
        <v>3.0</v>
      </c>
      <c r="BC43" s="11">
        <f t="shared" si="16"/>
        <v>1</v>
      </c>
      <c r="BD43" s="8">
        <f t="shared" si="5"/>
        <v>149</v>
      </c>
      <c r="BE43" s="11">
        <f t="shared" si="1"/>
        <v>0.745</v>
      </c>
      <c r="BF43" s="11">
        <f t="shared" si="6"/>
        <v>0.7609821429</v>
      </c>
      <c r="BG43" s="8">
        <f t="shared" si="7"/>
        <v>1</v>
      </c>
      <c r="BH43" s="8" t="str">
        <f t="shared" si="2"/>
        <v>ดี</v>
      </c>
      <c r="BI43" s="8" t="str">
        <f t="shared" si="17"/>
        <v>มิติ 7</v>
      </c>
      <c r="BJ43" s="11">
        <f t="shared" si="8"/>
        <v>0.6785714286</v>
      </c>
      <c r="BK43" s="11">
        <f t="shared" si="18"/>
        <v>0.75</v>
      </c>
      <c r="BL43" s="11">
        <f t="shared" si="19"/>
        <v>0.75</v>
      </c>
      <c r="BM43" s="11">
        <f t="shared" si="20"/>
        <v>0.8214285714</v>
      </c>
      <c r="BN43" s="11">
        <f t="shared" si="21"/>
        <v>0.8928571429</v>
      </c>
      <c r="BO43" s="11">
        <f t="shared" si="13"/>
        <v>0.7142857143</v>
      </c>
      <c r="BP43" s="11">
        <f t="shared" si="14"/>
        <v>0.6</v>
      </c>
      <c r="BQ43" s="11">
        <f t="shared" si="15"/>
        <v>0.6875</v>
      </c>
      <c r="BR43" s="8"/>
    </row>
    <row r="44" ht="15.75" customHeight="1">
      <c r="A44" s="8" t="s">
        <v>315</v>
      </c>
      <c r="B44" s="8" t="str">
        <f>IFERROR(VLOOKUP(A44,'01_ข้อมูลร้าน'!$A$2:$B$51,2,FALSE),"")</f>
        <v>ร้านที่ 43</v>
      </c>
      <c r="C44" s="8" t="s">
        <v>114</v>
      </c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11">
        <f t="shared" si="16"/>
        <v>0</v>
      </c>
      <c r="BD44" s="8">
        <f t="shared" si="5"/>
        <v>0</v>
      </c>
      <c r="BE44" s="11">
        <f t="shared" si="1"/>
        <v>0</v>
      </c>
      <c r="BF44" s="11">
        <f t="shared" si="6"/>
        <v>0</v>
      </c>
      <c r="BG44" s="8">
        <f t="shared" si="7"/>
        <v>0</v>
      </c>
      <c r="BH44" s="8" t="str">
        <f t="shared" si="2"/>
        <v>ยังไม่ประเมิน</v>
      </c>
      <c r="BI44" s="8" t="str">
        <f t="shared" si="17"/>
        <v>ยังไม่ประเมิน</v>
      </c>
      <c r="BJ44" s="11">
        <f t="shared" si="8"/>
        <v>0</v>
      </c>
      <c r="BK44" s="11">
        <f t="shared" si="18"/>
        <v>0</v>
      </c>
      <c r="BL44" s="11">
        <f t="shared" si="19"/>
        <v>0</v>
      </c>
      <c r="BM44" s="11">
        <f t="shared" si="20"/>
        <v>0</v>
      </c>
      <c r="BN44" s="11">
        <f t="shared" si="21"/>
        <v>0</v>
      </c>
      <c r="BO44" s="11">
        <f t="shared" si="13"/>
        <v>0</v>
      </c>
      <c r="BP44" s="11">
        <f t="shared" si="14"/>
        <v>0</v>
      </c>
      <c r="BQ44" s="11">
        <f t="shared" si="15"/>
        <v>0</v>
      </c>
      <c r="BR44" s="8"/>
    </row>
    <row r="45" ht="15.75" customHeight="1">
      <c r="A45" s="8" t="s">
        <v>317</v>
      </c>
      <c r="B45" s="8" t="str">
        <f>IFERROR(VLOOKUP(A45,'01_ข้อมูลร้าน'!$A$2:$B$51,2,FALSE),"")</f>
        <v>ร้านที่ 44</v>
      </c>
      <c r="C45" s="8" t="s">
        <v>114</v>
      </c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11">
        <f t="shared" si="16"/>
        <v>0</v>
      </c>
      <c r="BD45" s="8">
        <f t="shared" si="5"/>
        <v>0</v>
      </c>
      <c r="BE45" s="11">
        <f t="shared" si="1"/>
        <v>0</v>
      </c>
      <c r="BF45" s="11">
        <f t="shared" si="6"/>
        <v>0</v>
      </c>
      <c r="BG45" s="8">
        <f t="shared" si="7"/>
        <v>0</v>
      </c>
      <c r="BH45" s="8" t="str">
        <f t="shared" si="2"/>
        <v>ยังไม่ประเมิน</v>
      </c>
      <c r="BI45" s="8" t="str">
        <f t="shared" si="17"/>
        <v>ยังไม่ประเมิน</v>
      </c>
      <c r="BJ45" s="11">
        <f t="shared" si="8"/>
        <v>0</v>
      </c>
      <c r="BK45" s="11">
        <f t="shared" si="18"/>
        <v>0</v>
      </c>
      <c r="BL45" s="11">
        <f t="shared" si="19"/>
        <v>0</v>
      </c>
      <c r="BM45" s="11">
        <f t="shared" si="20"/>
        <v>0</v>
      </c>
      <c r="BN45" s="11">
        <f t="shared" si="21"/>
        <v>0</v>
      </c>
      <c r="BO45" s="11">
        <f t="shared" si="13"/>
        <v>0</v>
      </c>
      <c r="BP45" s="11">
        <f t="shared" si="14"/>
        <v>0</v>
      </c>
      <c r="BQ45" s="11">
        <f t="shared" si="15"/>
        <v>0</v>
      </c>
      <c r="BR45" s="8"/>
    </row>
    <row r="46" ht="15.75" customHeight="1">
      <c r="A46" s="8" t="s">
        <v>319</v>
      </c>
      <c r="B46" s="8" t="str">
        <f>IFERROR(VLOOKUP(A46,'01_ข้อมูลร้าน'!$A$2:$B$51,2,FALSE),"")</f>
        <v>ร้านที่ 45</v>
      </c>
      <c r="C46" s="8" t="s">
        <v>114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11">
        <f t="shared" si="16"/>
        <v>0</v>
      </c>
      <c r="BD46" s="8">
        <f t="shared" si="5"/>
        <v>0</v>
      </c>
      <c r="BE46" s="11">
        <f t="shared" si="1"/>
        <v>0</v>
      </c>
      <c r="BF46" s="11">
        <f t="shared" si="6"/>
        <v>0</v>
      </c>
      <c r="BG46" s="8">
        <f t="shared" si="7"/>
        <v>0</v>
      </c>
      <c r="BH46" s="8" t="str">
        <f t="shared" si="2"/>
        <v>ยังไม่ประเมิน</v>
      </c>
      <c r="BI46" s="8" t="str">
        <f t="shared" si="17"/>
        <v>ยังไม่ประเมิน</v>
      </c>
      <c r="BJ46" s="11">
        <f t="shared" si="8"/>
        <v>0</v>
      </c>
      <c r="BK46" s="11">
        <f t="shared" si="18"/>
        <v>0</v>
      </c>
      <c r="BL46" s="11">
        <f t="shared" si="19"/>
        <v>0</v>
      </c>
      <c r="BM46" s="11">
        <f t="shared" si="20"/>
        <v>0</v>
      </c>
      <c r="BN46" s="11">
        <f t="shared" si="21"/>
        <v>0</v>
      </c>
      <c r="BO46" s="11">
        <f t="shared" si="13"/>
        <v>0</v>
      </c>
      <c r="BP46" s="11">
        <f t="shared" si="14"/>
        <v>0</v>
      </c>
      <c r="BQ46" s="11">
        <f t="shared" si="15"/>
        <v>0</v>
      </c>
      <c r="BR46" s="8"/>
    </row>
    <row r="47" ht="15.75" customHeight="1">
      <c r="A47" s="8" t="s">
        <v>321</v>
      </c>
      <c r="B47" s="8" t="str">
        <f>IFERROR(VLOOKUP(A47,'01_ข้อมูลร้าน'!$A$2:$B$51,2,FALSE),"")</f>
        <v>ร้านที่ 46</v>
      </c>
      <c r="C47" s="8" t="s">
        <v>114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11">
        <f t="shared" si="16"/>
        <v>0</v>
      </c>
      <c r="BD47" s="8">
        <f t="shared" si="5"/>
        <v>0</v>
      </c>
      <c r="BE47" s="11">
        <f t="shared" si="1"/>
        <v>0</v>
      </c>
      <c r="BF47" s="11">
        <f t="shared" si="6"/>
        <v>0</v>
      </c>
      <c r="BG47" s="8">
        <f t="shared" si="7"/>
        <v>0</v>
      </c>
      <c r="BH47" s="8" t="str">
        <f t="shared" si="2"/>
        <v>ยังไม่ประเมิน</v>
      </c>
      <c r="BI47" s="8" t="str">
        <f t="shared" si="17"/>
        <v>ยังไม่ประเมิน</v>
      </c>
      <c r="BJ47" s="11">
        <f t="shared" si="8"/>
        <v>0</v>
      </c>
      <c r="BK47" s="11">
        <f t="shared" si="18"/>
        <v>0</v>
      </c>
      <c r="BL47" s="11">
        <f t="shared" si="19"/>
        <v>0</v>
      </c>
      <c r="BM47" s="11">
        <f t="shared" si="20"/>
        <v>0</v>
      </c>
      <c r="BN47" s="11">
        <f t="shared" si="21"/>
        <v>0</v>
      </c>
      <c r="BO47" s="11">
        <f t="shared" si="13"/>
        <v>0</v>
      </c>
      <c r="BP47" s="11">
        <f t="shared" si="14"/>
        <v>0</v>
      </c>
      <c r="BQ47" s="11">
        <f t="shared" si="15"/>
        <v>0</v>
      </c>
      <c r="BR47" s="8"/>
    </row>
    <row r="48" ht="15.75" customHeight="1">
      <c r="A48" s="8" t="s">
        <v>323</v>
      </c>
      <c r="B48" s="8" t="str">
        <f>IFERROR(VLOOKUP(A48,'01_ข้อมูลร้าน'!$A$2:$B$51,2,FALSE),"")</f>
        <v>ร้านที่ 47</v>
      </c>
      <c r="C48" s="8" t="s">
        <v>114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11">
        <f t="shared" si="16"/>
        <v>0</v>
      </c>
      <c r="BD48" s="8">
        <f t="shared" si="5"/>
        <v>0</v>
      </c>
      <c r="BE48" s="11">
        <f t="shared" si="1"/>
        <v>0</v>
      </c>
      <c r="BF48" s="11">
        <f t="shared" si="6"/>
        <v>0</v>
      </c>
      <c r="BG48" s="8">
        <f t="shared" si="7"/>
        <v>0</v>
      </c>
      <c r="BH48" s="8" t="str">
        <f t="shared" si="2"/>
        <v>ยังไม่ประเมิน</v>
      </c>
      <c r="BI48" s="8" t="str">
        <f t="shared" si="17"/>
        <v>ยังไม่ประเมิน</v>
      </c>
      <c r="BJ48" s="11">
        <f t="shared" si="8"/>
        <v>0</v>
      </c>
      <c r="BK48" s="11">
        <f t="shared" si="18"/>
        <v>0</v>
      </c>
      <c r="BL48" s="11">
        <f t="shared" si="19"/>
        <v>0</v>
      </c>
      <c r="BM48" s="11">
        <f t="shared" si="20"/>
        <v>0</v>
      </c>
      <c r="BN48" s="11">
        <f t="shared" si="21"/>
        <v>0</v>
      </c>
      <c r="BO48" s="11">
        <f t="shared" si="13"/>
        <v>0</v>
      </c>
      <c r="BP48" s="11">
        <f t="shared" si="14"/>
        <v>0</v>
      </c>
      <c r="BQ48" s="11">
        <f t="shared" si="15"/>
        <v>0</v>
      </c>
      <c r="BR48" s="8"/>
    </row>
    <row r="49" ht="15.75" customHeight="1">
      <c r="A49" s="8" t="s">
        <v>325</v>
      </c>
      <c r="B49" s="8" t="str">
        <f>IFERROR(VLOOKUP(A49,'01_ข้อมูลร้าน'!$A$2:$B$51,2,FALSE),"")</f>
        <v>ร้านที่ 48</v>
      </c>
      <c r="C49" s="8" t="s">
        <v>114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11">
        <f t="shared" si="16"/>
        <v>0</v>
      </c>
      <c r="BD49" s="8">
        <f t="shared" si="5"/>
        <v>0</v>
      </c>
      <c r="BE49" s="11">
        <f t="shared" si="1"/>
        <v>0</v>
      </c>
      <c r="BF49" s="11">
        <f t="shared" si="6"/>
        <v>0</v>
      </c>
      <c r="BG49" s="8">
        <f t="shared" si="7"/>
        <v>0</v>
      </c>
      <c r="BH49" s="8" t="str">
        <f t="shared" si="2"/>
        <v>ยังไม่ประเมิน</v>
      </c>
      <c r="BI49" s="8" t="str">
        <f t="shared" si="17"/>
        <v>ยังไม่ประเมิน</v>
      </c>
      <c r="BJ49" s="11">
        <f t="shared" si="8"/>
        <v>0</v>
      </c>
      <c r="BK49" s="11">
        <f t="shared" si="18"/>
        <v>0</v>
      </c>
      <c r="BL49" s="11">
        <f t="shared" si="19"/>
        <v>0</v>
      </c>
      <c r="BM49" s="11">
        <f t="shared" si="20"/>
        <v>0</v>
      </c>
      <c r="BN49" s="11">
        <f t="shared" si="21"/>
        <v>0</v>
      </c>
      <c r="BO49" s="11">
        <f t="shared" si="13"/>
        <v>0</v>
      </c>
      <c r="BP49" s="11">
        <f t="shared" si="14"/>
        <v>0</v>
      </c>
      <c r="BQ49" s="11">
        <f t="shared" si="15"/>
        <v>0</v>
      </c>
      <c r="BR49" s="8"/>
    </row>
    <row r="50" ht="15.75" customHeight="1">
      <c r="A50" s="8" t="s">
        <v>328</v>
      </c>
      <c r="B50" s="8" t="str">
        <f>IFERROR(VLOOKUP(A50,'01_ข้อมูลร้าน'!$A$2:$B$51,2,FALSE),"")</f>
        <v>ร้านที่ 49</v>
      </c>
      <c r="C50" s="8" t="s">
        <v>114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11">
        <f t="shared" si="16"/>
        <v>0</v>
      </c>
      <c r="BD50" s="8">
        <f t="shared" si="5"/>
        <v>0</v>
      </c>
      <c r="BE50" s="11">
        <f t="shared" si="1"/>
        <v>0</v>
      </c>
      <c r="BF50" s="11">
        <f t="shared" si="6"/>
        <v>0</v>
      </c>
      <c r="BG50" s="8">
        <f t="shared" si="7"/>
        <v>0</v>
      </c>
      <c r="BH50" s="8" t="str">
        <f t="shared" si="2"/>
        <v>ยังไม่ประเมิน</v>
      </c>
      <c r="BI50" s="8" t="str">
        <f t="shared" si="17"/>
        <v>ยังไม่ประเมิน</v>
      </c>
      <c r="BJ50" s="11">
        <f t="shared" si="8"/>
        <v>0</v>
      </c>
      <c r="BK50" s="11">
        <f t="shared" si="18"/>
        <v>0</v>
      </c>
      <c r="BL50" s="11">
        <f t="shared" si="19"/>
        <v>0</v>
      </c>
      <c r="BM50" s="11">
        <f t="shared" si="20"/>
        <v>0</v>
      </c>
      <c r="BN50" s="11">
        <f t="shared" si="21"/>
        <v>0</v>
      </c>
      <c r="BO50" s="11">
        <f t="shared" si="13"/>
        <v>0</v>
      </c>
      <c r="BP50" s="11">
        <f t="shared" si="14"/>
        <v>0</v>
      </c>
      <c r="BQ50" s="11">
        <f t="shared" si="15"/>
        <v>0</v>
      </c>
      <c r="BR50" s="8"/>
    </row>
    <row r="51" ht="15.75" customHeight="1">
      <c r="A51" s="8" t="s">
        <v>337</v>
      </c>
      <c r="B51" s="8" t="str">
        <f>IFERROR(VLOOKUP(A51,'01_ข้อมูลร้าน'!$A$2:$B$51,2,FALSE),"")</f>
        <v>ร้านที่ 50</v>
      </c>
      <c r="C51" s="8" t="s">
        <v>114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11">
        <f t="shared" si="16"/>
        <v>0</v>
      </c>
      <c r="BD51" s="8">
        <f t="shared" si="5"/>
        <v>0</v>
      </c>
      <c r="BE51" s="11">
        <f t="shared" si="1"/>
        <v>0</v>
      </c>
      <c r="BF51" s="11">
        <f t="shared" si="6"/>
        <v>0</v>
      </c>
      <c r="BG51" s="8">
        <f t="shared" si="7"/>
        <v>0</v>
      </c>
      <c r="BH51" s="8" t="str">
        <f t="shared" si="2"/>
        <v>ยังไม่ประเมิน</v>
      </c>
      <c r="BI51" s="8" t="str">
        <f t="shared" si="17"/>
        <v>ยังไม่ประเมิน</v>
      </c>
      <c r="BJ51" s="11">
        <f t="shared" si="8"/>
        <v>0</v>
      </c>
      <c r="BK51" s="11">
        <f t="shared" si="18"/>
        <v>0</v>
      </c>
      <c r="BL51" s="11">
        <f t="shared" si="19"/>
        <v>0</v>
      </c>
      <c r="BM51" s="11">
        <f t="shared" si="20"/>
        <v>0</v>
      </c>
      <c r="BN51" s="11">
        <f t="shared" si="21"/>
        <v>0</v>
      </c>
      <c r="BO51" s="11">
        <f t="shared" si="13"/>
        <v>0</v>
      </c>
      <c r="BP51" s="11">
        <f t="shared" si="14"/>
        <v>0</v>
      </c>
      <c r="BQ51" s="11">
        <f t="shared" si="15"/>
        <v>0</v>
      </c>
      <c r="BR51" s="8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F2:BF51">
    <cfRule type="colorScale" priority="1">
      <colorScale>
        <cfvo type="formula" val="0"/>
        <cfvo type="formula" val="0.65"/>
        <cfvo type="formula" val="1"/>
        <color rgb="FFFEE2E2"/>
        <color rgb="FFFEF3C7"/>
        <color rgb="FFDCFCE7"/>
      </colorScale>
    </cfRule>
  </conditionalFormatting>
  <printOptions/>
  <pageMargins bottom="1.0" footer="0.0" header="0.0" left="0.75" right="0.75" top="1.0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8" width="16.0"/>
    <col customWidth="1" min="19" max="19" width="42.0"/>
    <col customWidth="1" min="20" max="26" width="8.86"/>
  </cols>
  <sheetData>
    <row r="1">
      <c r="A1" s="2" t="s">
        <v>1</v>
      </c>
      <c r="B1" s="2" t="s">
        <v>2</v>
      </c>
      <c r="C1" s="2" t="s">
        <v>3</v>
      </c>
      <c r="D1" s="2" t="s">
        <v>5</v>
      </c>
      <c r="E1" s="2" t="s">
        <v>9</v>
      </c>
      <c r="F1" s="2" t="s">
        <v>10</v>
      </c>
      <c r="G1" s="2" t="s">
        <v>13</v>
      </c>
      <c r="H1" s="2" t="s">
        <v>16</v>
      </c>
      <c r="I1" s="2" t="s">
        <v>27</v>
      </c>
      <c r="J1" s="2" t="s">
        <v>30</v>
      </c>
      <c r="K1" s="2" t="s">
        <v>35</v>
      </c>
      <c r="L1" s="2" t="s">
        <v>40</v>
      </c>
      <c r="M1" s="2" t="s">
        <v>45</v>
      </c>
      <c r="N1" s="2" t="s">
        <v>47</v>
      </c>
      <c r="O1" s="2" t="s">
        <v>52</v>
      </c>
      <c r="P1" s="2" t="s">
        <v>55</v>
      </c>
      <c r="Q1" s="2" t="s">
        <v>58</v>
      </c>
      <c r="R1" s="2" t="s">
        <v>62</v>
      </c>
      <c r="S1" s="2" t="s">
        <v>67</v>
      </c>
      <c r="T1" s="8"/>
    </row>
    <row r="2">
      <c r="A2" s="8" t="s">
        <v>68</v>
      </c>
      <c r="B2" s="8" t="str">
        <f>IFERROR(VLOOKUP(A2,'01_ข้อมูลร้าน'!$A$2:$C$51,2,FALSE),"")</f>
        <v>Seed restaurant</v>
      </c>
      <c r="C2" s="8" t="str">
        <f>IFERROR(VLOOKUP(A2,'01_ข้อมูลร้าน'!$A$2:$C$51,3,FALSE),"")</f>
        <v/>
      </c>
      <c r="D2" s="11">
        <f>IFERROR(VLOOKUP(A2,'02_ประเมิน50ร้าน'!$A$2:$BR$51,55,FALSE),"")</f>
        <v>1</v>
      </c>
      <c r="E2" s="8">
        <f>IFERROR(VLOOKUP(A2,'02_ประเมิน50ร้าน'!$A$2:$BR$51,56,FALSE),"")</f>
        <v>150</v>
      </c>
      <c r="F2" s="11">
        <f>IFERROR(VLOOKUP(A2,'02_ประเมิน50ร้าน'!$A$2:$BR$51,57,FALSE),"")</f>
        <v>0.75</v>
      </c>
      <c r="G2" s="11">
        <f>IFERROR(VLOOKUP(A2,'02_ประเมิน50ร้าน'!$A$2:$BR$51,58,FALSE),"")</f>
        <v>0.7414583333</v>
      </c>
      <c r="H2" s="8">
        <f>IFERROR(VLOOKUP(A2,'02_ประเมิน50ร้าน'!$A$2:$BR$51,59,FALSE),"")</f>
        <v>0</v>
      </c>
      <c r="I2" s="8" t="str">
        <f>IFERROR(VLOOKUP(A2,'02_ประเมิน50ร้าน'!$A$2:$BR$51,60,FALSE),"")</f>
        <v>ดี</v>
      </c>
      <c r="J2" s="8" t="str">
        <f>IFERROR(VLOOKUP(A2,'02_ประเมิน50ร้าน'!$A$2:$BR$51,61,FALSE),"")</f>
        <v>มิติ 6</v>
      </c>
      <c r="K2" s="11">
        <f>IFERROR(VLOOKUP(A2,'02_ประเมิน50ร้าน'!$A$2:$BR$51,62,FALSE),"")</f>
        <v>0.6785714286</v>
      </c>
      <c r="L2" s="11">
        <f>IFERROR(VLOOKUP(A2,'02_ประเมิน50ร้าน'!$A$2:$BR$51,63,FALSE),"")</f>
        <v>0.8571428571</v>
      </c>
      <c r="M2" s="11">
        <f>IFERROR(VLOOKUP(A2,'02_ประเมิน50ร้าน'!$A$2:$BR$51,64,FALSE),"")</f>
        <v>0.8333333333</v>
      </c>
      <c r="N2" s="11">
        <f>IFERROR(VLOOKUP(A2,'02_ประเมิน50ร้าน'!$A$2:$BR$51,65,FALSE),"")</f>
        <v>0.7142857143</v>
      </c>
      <c r="O2" s="11">
        <f>IFERROR(VLOOKUP(A2,'02_ประเมิน50ร้าน'!$A$2:$BR$51,66,FALSE),"")</f>
        <v>0.7142857143</v>
      </c>
      <c r="P2" s="11">
        <f>IFERROR(VLOOKUP(A2,'02_ประเมิน50ร้าน'!$A$2:$BR$51,67,FALSE),"")</f>
        <v>0.6071428571</v>
      </c>
      <c r="Q2" s="11">
        <f>IFERROR(VLOOKUP(A2,'02_ประเมิน50ร้าน'!$A$2:$BR$51,68,FALSE),"")</f>
        <v>0.75</v>
      </c>
      <c r="R2" s="11">
        <f>IFERROR(VLOOKUP(A2,'02_ประเมิน50ร้าน'!$A$2:$BR$51,69,FALSE),"")</f>
        <v>0.9375</v>
      </c>
      <c r="S2" s="8" t="str">
        <f t="shared" ref="S2:S51" si="1">IF(D2=0,"กรอกคะแนนประเมินก่อน",IF(H2&gt;0,"ตรวจข้อคะแนน 0-1 และจัดทำแผน 7/30/90 วัน","ติดตามพัฒนาตามมิติที่คะแนนต่ำสุด"))</f>
        <v>ติดตามพัฒนาตามมิติที่คะแนนต่ำสุด</v>
      </c>
      <c r="T2" s="8" t="str">
        <f>IFERROR(VLOOKUP(A2,'02_ประเมิน50ร้าน'!$A$2:$BR$51,71,FALSE),"")</f>
        <v/>
      </c>
    </row>
    <row r="3">
      <c r="A3" s="8" t="s">
        <v>118</v>
      </c>
      <c r="B3" s="8" t="str">
        <f>IFERROR(VLOOKUP(A3,'01_ข้อมูลร้าน'!$A$2:$C$51,2,FALSE),"")</f>
        <v>ก๋วยเตี๋ยวเรือคุณปุ๊ก</v>
      </c>
      <c r="C3" s="8" t="str">
        <f>IFERROR(VLOOKUP(A3,'01_ข้อมูลร้าน'!$A$2:$C$51,3,FALSE),"")</f>
        <v/>
      </c>
      <c r="D3" s="11">
        <f>IFERROR(VLOOKUP(A3,'02_ประเมิน50ร้าน'!$A$2:$BR$51,55,FALSE),"")</f>
        <v>1</v>
      </c>
      <c r="E3" s="8">
        <f>IFERROR(VLOOKUP(A3,'02_ประเมิน50ร้าน'!$A$2:$BR$51,56,FALSE),"")</f>
        <v>112</v>
      </c>
      <c r="F3" s="11">
        <f>IFERROR(VLOOKUP(A3,'02_ประเมิน50ร้าน'!$A$2:$BR$51,57,FALSE),"")</f>
        <v>0.56</v>
      </c>
      <c r="G3" s="11">
        <f>IFERROR(VLOOKUP(A3,'02_ประเมิน50ร้าน'!$A$2:$BR$51,58,FALSE),"")</f>
        <v>0.5558035714</v>
      </c>
      <c r="H3" s="8">
        <f>IFERROR(VLOOKUP(A3,'02_ประเมิน50ร้าน'!$A$2:$BR$51,59,FALSE),"")</f>
        <v>16</v>
      </c>
      <c r="I3" s="8" t="str">
        <f>IFERROR(VLOOKUP(A3,'02_ประเมิน50ร้าน'!$A$2:$BR$51,60,FALSE),"")</f>
        <v>ต้องพัฒนา</v>
      </c>
      <c r="J3" s="8" t="str">
        <f>IFERROR(VLOOKUP(A3,'02_ประเมิน50ร้าน'!$A$2:$BR$51,61,FALSE),"")</f>
        <v>มิติ 2</v>
      </c>
      <c r="K3" s="11">
        <f>IFERROR(VLOOKUP(A3,'02_ประเมิน50ร้าน'!$A$2:$BR$51,62,FALSE),"")</f>
        <v>0.8214285714</v>
      </c>
      <c r="L3" s="11">
        <f>IFERROR(VLOOKUP(A3,'02_ประเมิน50ร้าน'!$A$2:$BR$51,63,FALSE),"")</f>
        <v>0.25</v>
      </c>
      <c r="M3" s="11">
        <f>IFERROR(VLOOKUP(A3,'02_ประเมิน50ร้าน'!$A$2:$BR$51,64,FALSE),"")</f>
        <v>0.625</v>
      </c>
      <c r="N3" s="11">
        <f>IFERROR(VLOOKUP(A3,'02_ประเมิน50ร้าน'!$A$2:$BR$51,65,FALSE),"")</f>
        <v>0.5357142857</v>
      </c>
      <c r="O3" s="11">
        <f>IFERROR(VLOOKUP(A3,'02_ประเมิน50ร้าน'!$A$2:$BR$51,66,FALSE),"")</f>
        <v>0.5714285714</v>
      </c>
      <c r="P3" s="11">
        <f>IFERROR(VLOOKUP(A3,'02_ประเมิน50ร้าน'!$A$2:$BR$51,67,FALSE),"")</f>
        <v>0.5357142857</v>
      </c>
      <c r="Q3" s="11">
        <f>IFERROR(VLOOKUP(A3,'02_ประเมิน50ร้าน'!$A$2:$BR$51,68,FALSE),"")</f>
        <v>0.4</v>
      </c>
      <c r="R3" s="11">
        <f>IFERROR(VLOOKUP(A3,'02_ประเมิน50ร้าน'!$A$2:$BR$51,69,FALSE),"")</f>
        <v>0.8125</v>
      </c>
      <c r="S3" s="8" t="str">
        <f t="shared" si="1"/>
        <v>ตรวจข้อคะแนน 0-1 และจัดทำแผน 7/30/90 วัน</v>
      </c>
      <c r="T3" s="8" t="str">
        <f>IFERROR(VLOOKUP(A3,'02_ประเมิน50ร้าน'!$A$2:$BR$51,71,FALSE),"")</f>
        <v/>
      </c>
    </row>
    <row r="4">
      <c r="A4" s="8" t="s">
        <v>133</v>
      </c>
      <c r="B4" s="8" t="str">
        <f>IFERROR(VLOOKUP(A4,'01_ข้อมูลร้าน'!$A$2:$C$51,2,FALSE),"")</f>
        <v>บ้าน-บ้าน สุขพอดี </v>
      </c>
      <c r="C4" s="8" t="str">
        <f>IFERROR(VLOOKUP(A4,'01_ข้อมูลร้าน'!$A$2:$C$51,3,FALSE),"")</f>
        <v/>
      </c>
      <c r="D4" s="11">
        <f>IFERROR(VLOOKUP(A4,'02_ประเมิน50ร้าน'!$A$2:$BR$51,55,FALSE),"")</f>
        <v>1</v>
      </c>
      <c r="E4" s="8">
        <f>IFERROR(VLOOKUP(A4,'02_ประเมิน50ร้าน'!$A$2:$BR$51,56,FALSE),"")</f>
        <v>88</v>
      </c>
      <c r="F4" s="11">
        <f>IFERROR(VLOOKUP(A4,'02_ประเมิน50ร้าน'!$A$2:$BR$51,57,FALSE),"")</f>
        <v>0.44</v>
      </c>
      <c r="G4" s="11">
        <f>IFERROR(VLOOKUP(A4,'02_ประเมิน50ร้าน'!$A$2:$BR$51,58,FALSE),"")</f>
        <v>0.3877678571</v>
      </c>
      <c r="H4" s="8">
        <f>IFERROR(VLOOKUP(A4,'02_ประเมิน50ร้าน'!$A$2:$BR$51,59,FALSE),"")</f>
        <v>24</v>
      </c>
      <c r="I4" s="8" t="str">
        <f>IFERROR(VLOOKUP(A4,'02_ประเมิน50ร้าน'!$A$2:$BR$51,60,FALSE),"")</f>
        <v>เร่งแก้ไข</v>
      </c>
      <c r="J4" s="8" t="str">
        <f>IFERROR(VLOOKUP(A4,'02_ประเมิน50ร้าน'!$A$2:$BR$51,61,FALSE),"")</f>
        <v>มิติ 2</v>
      </c>
      <c r="K4" s="11">
        <f>IFERROR(VLOOKUP(A4,'02_ประเมิน50ร้าน'!$A$2:$BR$51,62,FALSE),"")</f>
        <v>0.25</v>
      </c>
      <c r="L4" s="11">
        <f>IFERROR(VLOOKUP(A4,'02_ประเมิน50ร้าน'!$A$2:$BR$51,63,FALSE),"")</f>
        <v>0</v>
      </c>
      <c r="M4" s="11">
        <f>IFERROR(VLOOKUP(A4,'02_ประเมิน50ร้าน'!$A$2:$BR$51,64,FALSE),"")</f>
        <v>0.5</v>
      </c>
      <c r="N4" s="11">
        <f>IFERROR(VLOOKUP(A4,'02_ประเมิน50ร้าน'!$A$2:$BR$51,65,FALSE),"")</f>
        <v>0.8928571429</v>
      </c>
      <c r="O4" s="11">
        <f>IFERROR(VLOOKUP(A4,'02_ประเมิน50ร้าน'!$A$2:$BR$51,66,FALSE),"")</f>
        <v>0.3214285714</v>
      </c>
      <c r="P4" s="11">
        <f>IFERROR(VLOOKUP(A4,'02_ประเมิน50ร้าน'!$A$2:$BR$51,67,FALSE),"")</f>
        <v>0.1071428571</v>
      </c>
      <c r="Q4" s="11">
        <f>IFERROR(VLOOKUP(A4,'02_ประเมิน50ร้าน'!$A$2:$BR$51,68,FALSE),"")</f>
        <v>0.85</v>
      </c>
      <c r="R4" s="11">
        <f>IFERROR(VLOOKUP(A4,'02_ประเมิน50ร้าน'!$A$2:$BR$51,69,FALSE),"")</f>
        <v>0.9375</v>
      </c>
      <c r="S4" s="8" t="str">
        <f t="shared" si="1"/>
        <v>ตรวจข้อคะแนน 0-1 และจัดทำแผน 7/30/90 วัน</v>
      </c>
      <c r="T4" s="8" t="str">
        <f>IFERROR(VLOOKUP(A4,'02_ประเมิน50ร้าน'!$A$2:$BR$51,71,FALSE),"")</f>
        <v/>
      </c>
    </row>
    <row r="5">
      <c r="A5" s="8" t="s">
        <v>139</v>
      </c>
      <c r="B5" s="8" t="str">
        <f>IFERROR(VLOOKUP(A5,'01_ข้อมูลร้าน'!$A$2:$C$51,2,FALSE),"")</f>
        <v> แฟรนไชส์ก๋วยเตี๋ยวปากหม้อแม่ว่าดี </v>
      </c>
      <c r="C5" s="8" t="str">
        <f>IFERROR(VLOOKUP(A5,'01_ข้อมูลร้าน'!$A$2:$C$51,3,FALSE),"")</f>
        <v/>
      </c>
      <c r="D5" s="11">
        <f>IFERROR(VLOOKUP(A5,'02_ประเมิน50ร้าน'!$A$2:$BR$51,55,FALSE),"")</f>
        <v>1</v>
      </c>
      <c r="E5" s="8">
        <f>IFERROR(VLOOKUP(A5,'02_ประเมิน50ร้าน'!$A$2:$BR$51,56,FALSE),"")</f>
        <v>162</v>
      </c>
      <c r="F5" s="11">
        <f>IFERROR(VLOOKUP(A5,'02_ประเมิน50ร้าน'!$A$2:$BR$51,57,FALSE),"")</f>
        <v>0.81</v>
      </c>
      <c r="G5" s="11">
        <f>IFERROR(VLOOKUP(A5,'02_ประเมิน50ร้าน'!$A$2:$BR$51,58,FALSE),"")</f>
        <v>0.7926488095</v>
      </c>
      <c r="H5" s="8">
        <f>IFERROR(VLOOKUP(A5,'02_ประเมิน50ร้าน'!$A$2:$BR$51,59,FALSE),"")</f>
        <v>3</v>
      </c>
      <c r="I5" s="8" t="str">
        <f>IFERROR(VLOOKUP(A5,'02_ประเมิน50ร้าน'!$A$2:$BR$51,60,FALSE),"")</f>
        <v>ดี</v>
      </c>
      <c r="J5" s="8" t="str">
        <f>IFERROR(VLOOKUP(A5,'02_ประเมิน50ร้าน'!$A$2:$BR$51,61,FALSE),"")</f>
        <v>มิติ 2</v>
      </c>
      <c r="K5" s="11">
        <f>IFERROR(VLOOKUP(A5,'02_ประเมิน50ร้าน'!$A$2:$BR$51,62,FALSE),"")</f>
        <v>0.9285714286</v>
      </c>
      <c r="L5" s="11">
        <f>IFERROR(VLOOKUP(A5,'02_ประเมิน50ร้าน'!$A$2:$BR$51,63,FALSE),"")</f>
        <v>0.5714285714</v>
      </c>
      <c r="M5" s="11">
        <f>IFERROR(VLOOKUP(A5,'02_ประเมิน50ร้าน'!$A$2:$BR$51,64,FALSE),"")</f>
        <v>0.7916666667</v>
      </c>
      <c r="N5" s="11">
        <f>IFERROR(VLOOKUP(A5,'02_ประเมิน50ร้าน'!$A$2:$BR$51,65,FALSE),"")</f>
        <v>0.8928571429</v>
      </c>
      <c r="O5" s="11">
        <f>IFERROR(VLOOKUP(A5,'02_ประเมิน50ร้าน'!$A$2:$BR$51,66,FALSE),"")</f>
        <v>0.8571428571</v>
      </c>
      <c r="P5" s="11">
        <f>IFERROR(VLOOKUP(A5,'02_ประเมิน50ร้าน'!$A$2:$BR$51,67,FALSE),"")</f>
        <v>0.6428571429</v>
      </c>
      <c r="Q5" s="11">
        <f>IFERROR(VLOOKUP(A5,'02_ประเมิน50ร้าน'!$A$2:$BR$51,68,FALSE),"")</f>
        <v>0.95</v>
      </c>
      <c r="R5" s="11">
        <f>IFERROR(VLOOKUP(A5,'02_ประเมิน50ร้าน'!$A$2:$BR$51,69,FALSE),"")</f>
        <v>0.9375</v>
      </c>
      <c r="S5" s="8" t="str">
        <f t="shared" si="1"/>
        <v>ตรวจข้อคะแนน 0-1 และจัดทำแผน 7/30/90 วัน</v>
      </c>
      <c r="T5" s="8" t="str">
        <f>IFERROR(VLOOKUP(A5,'02_ประเมิน50ร้าน'!$A$2:$BR$51,71,FALSE),"")</f>
        <v/>
      </c>
    </row>
    <row r="6">
      <c r="A6" s="8" t="s">
        <v>141</v>
      </c>
      <c r="B6" s="8" t="str">
        <f>IFERROR(VLOOKUP(A6,'01_ข้อมูลร้าน'!$A$2:$C$51,2,FALSE),"")</f>
        <v>16Brix Melon Farm&amp;Café</v>
      </c>
      <c r="C6" s="8" t="str">
        <f>IFERROR(VLOOKUP(A6,'01_ข้อมูลร้าน'!$A$2:$C$51,3,FALSE),"")</f>
        <v/>
      </c>
      <c r="D6" s="11">
        <f>IFERROR(VLOOKUP(A6,'02_ประเมิน50ร้าน'!$A$2:$BR$51,55,FALSE),"")</f>
        <v>1</v>
      </c>
      <c r="E6" s="8">
        <f>IFERROR(VLOOKUP(A6,'02_ประเมิน50ร้าน'!$A$2:$BR$51,56,FALSE),"")</f>
        <v>154</v>
      </c>
      <c r="F6" s="11">
        <f>IFERROR(VLOOKUP(A6,'02_ประเมิน50ร้าน'!$A$2:$BR$51,57,FALSE),"")</f>
        <v>0.77</v>
      </c>
      <c r="G6" s="11">
        <f>IFERROR(VLOOKUP(A6,'02_ประเมิน50ร้าน'!$A$2:$BR$51,58,FALSE),"")</f>
        <v>0.7474107143</v>
      </c>
      <c r="H6" s="8">
        <f>IFERROR(VLOOKUP(A6,'02_ประเมิน50ร้าน'!$A$2:$BR$51,59,FALSE),"")</f>
        <v>6</v>
      </c>
      <c r="I6" s="8" t="str">
        <f>IFERROR(VLOOKUP(A6,'02_ประเมิน50ร้าน'!$A$2:$BR$51,60,FALSE),"")</f>
        <v>ดี</v>
      </c>
      <c r="J6" s="8" t="str">
        <f>IFERROR(VLOOKUP(A6,'02_ประเมิน50ร้าน'!$A$2:$BR$51,61,FALSE),"")</f>
        <v>มิติ 2</v>
      </c>
      <c r="K6" s="11">
        <f>IFERROR(VLOOKUP(A6,'02_ประเมิน50ร้าน'!$A$2:$BR$51,62,FALSE),"")</f>
        <v>0.8928571429</v>
      </c>
      <c r="L6" s="11">
        <f>IFERROR(VLOOKUP(A6,'02_ประเมิน50ร้าน'!$A$2:$BR$51,63,FALSE),"")</f>
        <v>0.4285714286</v>
      </c>
      <c r="M6" s="11">
        <f>IFERROR(VLOOKUP(A6,'02_ประเมิน50ร้าน'!$A$2:$BR$51,64,FALSE),"")</f>
        <v>0.875</v>
      </c>
      <c r="N6" s="11">
        <f>IFERROR(VLOOKUP(A6,'02_ประเมิน50ร้าน'!$A$2:$BR$51,65,FALSE),"")</f>
        <v>0.8214285714</v>
      </c>
      <c r="O6" s="11">
        <f>IFERROR(VLOOKUP(A6,'02_ประเมิน50ร้าน'!$A$2:$BR$51,66,FALSE),"")</f>
        <v>0.8928571429</v>
      </c>
      <c r="P6" s="11">
        <f>IFERROR(VLOOKUP(A6,'02_ประเมิน50ร้าน'!$A$2:$BR$51,67,FALSE),"")</f>
        <v>0.5</v>
      </c>
      <c r="Q6" s="11">
        <f>IFERROR(VLOOKUP(A6,'02_ประเมิน50ร้าน'!$A$2:$BR$51,68,FALSE),"")</f>
        <v>0.95</v>
      </c>
      <c r="R6" s="11">
        <f>IFERROR(VLOOKUP(A6,'02_ประเมิน50ร้าน'!$A$2:$BR$51,69,FALSE),"")</f>
        <v>0.9375</v>
      </c>
      <c r="S6" s="8" t="str">
        <f t="shared" si="1"/>
        <v>ตรวจข้อคะแนน 0-1 และจัดทำแผน 7/30/90 วัน</v>
      </c>
      <c r="T6" s="8" t="str">
        <f>IFERROR(VLOOKUP(A6,'02_ประเมิน50ร้าน'!$A$2:$BR$51,71,FALSE),"")</f>
        <v/>
      </c>
    </row>
    <row r="7">
      <c r="A7" s="8" t="s">
        <v>147</v>
      </c>
      <c r="B7" s="8" t="str">
        <f>IFERROR(VLOOKUP(A7,'01_ข้อมูลร้าน'!$A$2:$C$51,2,FALSE),"")</f>
        <v>ร้านอีสานเฮาส์ (304 ปราจีนบุรี)</v>
      </c>
      <c r="C7" s="8" t="str">
        <f>IFERROR(VLOOKUP(A7,'01_ข้อมูลร้าน'!$A$2:$C$51,3,FALSE),"")</f>
        <v/>
      </c>
      <c r="D7" s="11">
        <f>IFERROR(VLOOKUP(A7,'02_ประเมิน50ร้าน'!$A$2:$BR$51,55,FALSE),"")</f>
        <v>1</v>
      </c>
      <c r="E7" s="8">
        <f>IFERROR(VLOOKUP(A7,'02_ประเมิน50ร้าน'!$A$2:$BR$51,56,FALSE),"")</f>
        <v>177</v>
      </c>
      <c r="F7" s="11">
        <f>IFERROR(VLOOKUP(A7,'02_ประเมิน50ร้าน'!$A$2:$BR$51,57,FALSE),"")</f>
        <v>0.885</v>
      </c>
      <c r="G7" s="11">
        <f>IFERROR(VLOOKUP(A7,'02_ประเมิน50ร้าน'!$A$2:$BR$51,58,FALSE),"")</f>
        <v>0.8710714286</v>
      </c>
      <c r="H7" s="8">
        <f>IFERROR(VLOOKUP(A7,'02_ประเมิน50ร้าน'!$A$2:$BR$51,59,FALSE),"")</f>
        <v>2</v>
      </c>
      <c r="I7" s="8" t="str">
        <f>IFERROR(VLOOKUP(A7,'02_ประเมิน50ร้าน'!$A$2:$BR$51,60,FALSE),"")</f>
        <v>ดีมาก</v>
      </c>
      <c r="J7" s="8" t="str">
        <f>IFERROR(VLOOKUP(A7,'02_ประเมิน50ร้าน'!$A$2:$BR$51,61,FALSE),"")</f>
        <v>มิติ 1</v>
      </c>
      <c r="K7" s="11">
        <f>IFERROR(VLOOKUP(A7,'02_ประเมิน50ร้าน'!$A$2:$BR$51,62,FALSE),"")</f>
        <v>0.7142857143</v>
      </c>
      <c r="L7" s="11">
        <f>IFERROR(VLOOKUP(A7,'02_ประเมิน50ร้าน'!$A$2:$BR$51,63,FALSE),"")</f>
        <v>0.9285714286</v>
      </c>
      <c r="M7" s="11">
        <f>IFERROR(VLOOKUP(A7,'02_ประเมิน50ร้าน'!$A$2:$BR$51,64,FALSE),"")</f>
        <v>1</v>
      </c>
      <c r="N7" s="11">
        <f>IFERROR(VLOOKUP(A7,'02_ประเมิน50ร้าน'!$A$2:$BR$51,65,FALSE),"")</f>
        <v>1</v>
      </c>
      <c r="O7" s="11">
        <f>IFERROR(VLOOKUP(A7,'02_ประเมิน50ร้าน'!$A$2:$BR$51,66,FALSE),"")</f>
        <v>0.7857142857</v>
      </c>
      <c r="P7" s="11">
        <f>IFERROR(VLOOKUP(A7,'02_ประเมิน50ร้าน'!$A$2:$BR$51,67,FALSE),"")</f>
        <v>0.7857142857</v>
      </c>
      <c r="Q7" s="11">
        <f>IFERROR(VLOOKUP(A7,'02_ประเมิน50ร้าน'!$A$2:$BR$51,68,FALSE),"")</f>
        <v>0.95</v>
      </c>
      <c r="R7" s="11">
        <f>IFERROR(VLOOKUP(A7,'02_ประเมิน50ร้าน'!$A$2:$BR$51,69,FALSE),"")</f>
        <v>1</v>
      </c>
      <c r="S7" s="8" t="str">
        <f t="shared" si="1"/>
        <v>ตรวจข้อคะแนน 0-1 และจัดทำแผน 7/30/90 วัน</v>
      </c>
      <c r="T7" s="8" t="str">
        <f>IFERROR(VLOOKUP(A7,'02_ประเมิน50ร้าน'!$A$2:$BR$51,71,FALSE),"")</f>
        <v/>
      </c>
    </row>
    <row r="8">
      <c r="A8" s="8" t="s">
        <v>153</v>
      </c>
      <c r="B8" s="8" t="str">
        <f>IFERROR(VLOOKUP(A8,'01_ข้อมูลร้าน'!$A$2:$C$51,2,FALSE),"")</f>
        <v>ร้านคำนิยม</v>
      </c>
      <c r="C8" s="8" t="str">
        <f>IFERROR(VLOOKUP(A8,'01_ข้อมูลร้าน'!$A$2:$C$51,3,FALSE),"")</f>
        <v/>
      </c>
      <c r="D8" s="11">
        <f>IFERROR(VLOOKUP(A8,'02_ประเมิน50ร้าน'!$A$2:$BR$51,55,FALSE),"")</f>
        <v>1</v>
      </c>
      <c r="E8" s="8">
        <f>IFERROR(VLOOKUP(A8,'02_ประเมิน50ร้าน'!$A$2:$BR$51,56,FALSE),"")</f>
        <v>161</v>
      </c>
      <c r="F8" s="11">
        <f>IFERROR(VLOOKUP(A8,'02_ประเมิน50ร้าน'!$A$2:$BR$51,57,FALSE),"")</f>
        <v>0.805</v>
      </c>
      <c r="G8" s="11">
        <f>IFERROR(VLOOKUP(A8,'02_ประเมิน50ร้าน'!$A$2:$BR$51,58,FALSE),"")</f>
        <v>0.7827380952</v>
      </c>
      <c r="H8" s="8">
        <f>IFERROR(VLOOKUP(A8,'02_ประเมิน50ร้าน'!$A$2:$BR$51,59,FALSE),"")</f>
        <v>3</v>
      </c>
      <c r="I8" s="8" t="str">
        <f>IFERROR(VLOOKUP(A8,'02_ประเมิน50ร้าน'!$A$2:$BR$51,60,FALSE),"")</f>
        <v>ดี</v>
      </c>
      <c r="J8" s="8" t="str">
        <f>IFERROR(VLOOKUP(A8,'02_ประเมิน50ร้าน'!$A$2:$BR$51,61,FALSE),"")</f>
        <v>มิติ 5</v>
      </c>
      <c r="K8" s="11">
        <f>IFERROR(VLOOKUP(A8,'02_ประเมิน50ร้าน'!$A$2:$BR$51,62,FALSE),"")</f>
        <v>0.75</v>
      </c>
      <c r="L8" s="11">
        <f>IFERROR(VLOOKUP(A8,'02_ประเมิน50ร้าน'!$A$2:$BR$51,63,FALSE),"")</f>
        <v>0.7857142857</v>
      </c>
      <c r="M8" s="11">
        <f>IFERROR(VLOOKUP(A8,'02_ประเมิน50ร้าน'!$A$2:$BR$51,64,FALSE),"")</f>
        <v>0.9166666667</v>
      </c>
      <c r="N8" s="11">
        <f>IFERROR(VLOOKUP(A8,'02_ประเมิน50ร้าน'!$A$2:$BR$51,65,FALSE),"")</f>
        <v>0.9285714286</v>
      </c>
      <c r="O8" s="11">
        <f>IFERROR(VLOOKUP(A8,'02_ประเมิน50ร้าน'!$A$2:$BR$51,66,FALSE),"")</f>
        <v>0.6071428571</v>
      </c>
      <c r="P8" s="11">
        <f>IFERROR(VLOOKUP(A8,'02_ประเมิน50ร้าน'!$A$2:$BR$51,67,FALSE),"")</f>
        <v>0.7142857143</v>
      </c>
      <c r="Q8" s="11">
        <f>IFERROR(VLOOKUP(A8,'02_ประเมิน50ร้าน'!$A$2:$BR$51,68,FALSE),"")</f>
        <v>0.85</v>
      </c>
      <c r="R8" s="11">
        <f>IFERROR(VLOOKUP(A8,'02_ประเมิน50ร้าน'!$A$2:$BR$51,69,FALSE),"")</f>
        <v>1</v>
      </c>
      <c r="S8" s="8" t="str">
        <f t="shared" si="1"/>
        <v>ตรวจข้อคะแนน 0-1 และจัดทำแผน 7/30/90 วัน</v>
      </c>
      <c r="T8" s="8" t="str">
        <f>IFERROR(VLOOKUP(A8,'02_ประเมิน50ร้าน'!$A$2:$BR$51,71,FALSE),"")</f>
        <v/>
      </c>
    </row>
    <row r="9">
      <c r="A9" s="8" t="s">
        <v>159</v>
      </c>
      <c r="B9" s="8" t="str">
        <f>IFERROR(VLOOKUP(A9,'01_ข้อมูลร้าน'!$A$2:$C$51,2,FALSE),"")</f>
        <v>ร้านอรวรรณบ้านเพ</v>
      </c>
      <c r="C9" s="8" t="str">
        <f>IFERROR(VLOOKUP(A9,'01_ข้อมูลร้าน'!$A$2:$C$51,3,FALSE),"")</f>
        <v/>
      </c>
      <c r="D9" s="11">
        <f>IFERROR(VLOOKUP(A9,'02_ประเมิน50ร้าน'!$A$2:$BR$51,55,FALSE),"")</f>
        <v>1</v>
      </c>
      <c r="E9" s="8">
        <f>IFERROR(VLOOKUP(A9,'02_ประเมิน50ร้าน'!$A$2:$BR$51,56,FALSE),"")</f>
        <v>87</v>
      </c>
      <c r="F9" s="11">
        <f>IFERROR(VLOOKUP(A9,'02_ประเมิน50ร้าน'!$A$2:$BR$51,57,FALSE),"")</f>
        <v>0.435</v>
      </c>
      <c r="G9" s="11">
        <f>IFERROR(VLOOKUP(A9,'02_ประเมิน50ร้าน'!$A$2:$BR$51,58,FALSE),"")</f>
        <v>0.4039880952</v>
      </c>
      <c r="H9" s="8">
        <f>IFERROR(VLOOKUP(A9,'02_ประเมิน50ร้าน'!$A$2:$BR$51,59,FALSE),"")</f>
        <v>26</v>
      </c>
      <c r="I9" s="8" t="str">
        <f>IFERROR(VLOOKUP(A9,'02_ประเมิน50ร้าน'!$A$2:$BR$51,60,FALSE),"")</f>
        <v>เร่งแก้ไข</v>
      </c>
      <c r="J9" s="8" t="str">
        <f>IFERROR(VLOOKUP(A9,'02_ประเมิน50ร้าน'!$A$2:$BR$51,61,FALSE),"")</f>
        <v>มิติ 2</v>
      </c>
      <c r="K9" s="11">
        <f>IFERROR(VLOOKUP(A9,'02_ประเมิน50ร้าน'!$A$2:$BR$51,62,FALSE),"")</f>
        <v>0.4285714286</v>
      </c>
      <c r="L9" s="11">
        <f>IFERROR(VLOOKUP(A9,'02_ประเมิน50ร้าน'!$A$2:$BR$51,63,FALSE),"")</f>
        <v>0.1428571429</v>
      </c>
      <c r="M9" s="11">
        <f>IFERROR(VLOOKUP(A9,'02_ประเมิน50ร้าน'!$A$2:$BR$51,64,FALSE),"")</f>
        <v>0.4166666667</v>
      </c>
      <c r="N9" s="11">
        <f>IFERROR(VLOOKUP(A9,'02_ประเมิน50ร้าน'!$A$2:$BR$51,65,FALSE),"")</f>
        <v>0.4285714286</v>
      </c>
      <c r="O9" s="11">
        <f>IFERROR(VLOOKUP(A9,'02_ประเมิน50ร้าน'!$A$2:$BR$51,66,FALSE),"")</f>
        <v>0.3214285714</v>
      </c>
      <c r="P9" s="11">
        <f>IFERROR(VLOOKUP(A9,'02_ประเมิน50ร้าน'!$A$2:$BR$51,67,FALSE),"")</f>
        <v>0.3928571429</v>
      </c>
      <c r="Q9" s="11">
        <f>IFERROR(VLOOKUP(A9,'02_ประเมิน50ร้าน'!$A$2:$BR$51,68,FALSE),"")</f>
        <v>0.75</v>
      </c>
      <c r="R9" s="11">
        <f>IFERROR(VLOOKUP(A9,'02_ประเมิน50ร้าน'!$A$2:$BR$51,69,FALSE),"")</f>
        <v>0.875</v>
      </c>
      <c r="S9" s="8" t="str">
        <f t="shared" si="1"/>
        <v>ตรวจข้อคะแนน 0-1 และจัดทำแผน 7/30/90 วัน</v>
      </c>
      <c r="T9" s="8" t="str">
        <f>IFERROR(VLOOKUP(A9,'02_ประเมิน50ร้าน'!$A$2:$BR$51,71,FALSE),"")</f>
        <v/>
      </c>
    </row>
    <row r="10">
      <c r="A10" s="8" t="s">
        <v>161</v>
      </c>
      <c r="B10" s="8" t="str">
        <f>IFERROR(VLOOKUP(A10,'01_ข้อมูลร้าน'!$A$2:$C$51,2,FALSE),"")</f>
        <v>ครัวเดอมอง</v>
      </c>
      <c r="C10" s="8" t="str">
        <f>IFERROR(VLOOKUP(A10,'01_ข้อมูลร้าน'!$A$2:$C$51,3,FALSE),"")</f>
        <v/>
      </c>
      <c r="D10" s="11">
        <f>IFERROR(VLOOKUP(A10,'02_ประเมิน50ร้าน'!$A$2:$BR$51,55,FALSE),"")</f>
        <v>1</v>
      </c>
      <c r="E10" s="8">
        <f>IFERROR(VLOOKUP(A10,'02_ประเมิน50ร้าน'!$A$2:$BR$51,56,FALSE),"")</f>
        <v>89</v>
      </c>
      <c r="F10" s="11">
        <f>IFERROR(VLOOKUP(A10,'02_ประเมิน50ร้าน'!$A$2:$BR$51,57,FALSE),"")</f>
        <v>0.445</v>
      </c>
      <c r="G10" s="11">
        <f>IFERROR(VLOOKUP(A10,'02_ประเมิน50ร้าน'!$A$2:$BR$51,58,FALSE),"")</f>
        <v>0.4244940476</v>
      </c>
      <c r="H10" s="8">
        <f>IFERROR(VLOOKUP(A10,'02_ประเมิน50ร้าน'!$A$2:$BR$51,59,FALSE),"")</f>
        <v>22</v>
      </c>
      <c r="I10" s="8" t="str">
        <f>IFERROR(VLOOKUP(A10,'02_ประเมิน50ร้าน'!$A$2:$BR$51,60,FALSE),"")</f>
        <v>เร่งแก้ไข</v>
      </c>
      <c r="J10" s="8" t="str">
        <f>IFERROR(VLOOKUP(A10,'02_ประเมิน50ร้าน'!$A$2:$BR$51,61,FALSE),"")</f>
        <v>มิติ 4</v>
      </c>
      <c r="K10" s="11">
        <f>IFERROR(VLOOKUP(A10,'02_ประเมิน50ร้าน'!$A$2:$BR$51,62,FALSE),"")</f>
        <v>0.75</v>
      </c>
      <c r="L10" s="11">
        <f>IFERROR(VLOOKUP(A10,'02_ประเมิน50ร้าน'!$A$2:$BR$51,63,FALSE),"")</f>
        <v>0.3928571429</v>
      </c>
      <c r="M10" s="11">
        <f>IFERROR(VLOOKUP(A10,'02_ประเมิน50ร้าน'!$A$2:$BR$51,64,FALSE),"")</f>
        <v>0.3333333333</v>
      </c>
      <c r="N10" s="11">
        <f>IFERROR(VLOOKUP(A10,'02_ประเมิน50ร้าน'!$A$2:$BR$51,65,FALSE),"")</f>
        <v>0.25</v>
      </c>
      <c r="O10" s="11">
        <f>IFERROR(VLOOKUP(A10,'02_ประเมิน50ร้าน'!$A$2:$BR$51,66,FALSE),"")</f>
        <v>0.2857142857</v>
      </c>
      <c r="P10" s="11">
        <f>IFERROR(VLOOKUP(A10,'02_ประเมิน50ร้าน'!$A$2:$BR$51,67,FALSE),"")</f>
        <v>0.3928571429</v>
      </c>
      <c r="Q10" s="11">
        <f>IFERROR(VLOOKUP(A10,'02_ประเมิน50ร้าน'!$A$2:$BR$51,68,FALSE),"")</f>
        <v>0.5</v>
      </c>
      <c r="R10" s="11">
        <f>IFERROR(VLOOKUP(A10,'02_ประเมิน50ร้าน'!$A$2:$BR$51,69,FALSE),"")</f>
        <v>0.8125</v>
      </c>
      <c r="S10" s="8" t="str">
        <f t="shared" si="1"/>
        <v>ตรวจข้อคะแนน 0-1 และจัดทำแผน 7/30/90 วัน</v>
      </c>
      <c r="T10" s="8" t="str">
        <f>IFERROR(VLOOKUP(A10,'02_ประเมิน50ร้าน'!$A$2:$BR$51,71,FALSE),"")</f>
        <v/>
      </c>
    </row>
    <row r="11">
      <c r="A11" s="8" t="s">
        <v>163</v>
      </c>
      <c r="B11" s="8" t="str">
        <f>IFERROR(VLOOKUP(A11,'01_ข้อมูลร้าน'!$A$2:$C$51,2,FALSE),"")</f>
        <v>เรือนไทย พัทยา</v>
      </c>
      <c r="C11" s="8" t="str">
        <f>IFERROR(VLOOKUP(A11,'01_ข้อมูลร้าน'!$A$2:$C$51,3,FALSE),"")</f>
        <v/>
      </c>
      <c r="D11" s="11">
        <f>IFERROR(VLOOKUP(A11,'02_ประเมิน50ร้าน'!$A$2:$BR$51,55,FALSE),"")</f>
        <v>0.6</v>
      </c>
      <c r="E11" s="8">
        <f>IFERROR(VLOOKUP(A11,'02_ประเมิน50ร้าน'!$A$2:$BR$51,56,FALSE),"")</f>
        <v>78</v>
      </c>
      <c r="F11" s="11">
        <f>IFERROR(VLOOKUP(A11,'02_ประเมิน50ร้าน'!$A$2:$BR$51,57,FALSE),"")</f>
        <v>0.39</v>
      </c>
      <c r="G11" s="11">
        <f>IFERROR(VLOOKUP(A11,'02_ประเมิน50ร้าน'!$A$2:$BR$51,58,FALSE),"")</f>
        <v>0.3608035714</v>
      </c>
      <c r="H11" s="8">
        <f>IFERROR(VLOOKUP(A11,'02_ประเมิน50ร้าน'!$A$2:$BR$51,59,FALSE),"")</f>
        <v>10</v>
      </c>
      <c r="I11" s="8" t="str">
        <f>IFERROR(VLOOKUP(A11,'02_ประเมิน50ร้าน'!$A$2:$BR$51,60,FALSE),"")</f>
        <v>เร่งแก้ไข</v>
      </c>
      <c r="J11" s="8" t="str">
        <f>IFERROR(VLOOKUP(A11,'02_ประเมิน50ร้าน'!$A$2:$BR$51,61,FALSE),"")</f>
        <v>มิติ 3</v>
      </c>
      <c r="K11" s="11">
        <f>IFERROR(VLOOKUP(A11,'02_ประเมิน50ร้าน'!$A$2:$BR$51,62,FALSE),"")</f>
        <v>0.5</v>
      </c>
      <c r="L11" s="11">
        <f>IFERROR(VLOOKUP(A11,'02_ประเมิน50ร้าน'!$A$2:$BR$51,63,FALSE),"")</f>
        <v>0.5714285714</v>
      </c>
      <c r="M11" s="11">
        <f>IFERROR(VLOOKUP(A11,'02_ประเมิน50ร้าน'!$A$2:$BR$51,64,FALSE),"")</f>
        <v>0</v>
      </c>
      <c r="N11" s="11">
        <f>IFERROR(VLOOKUP(A11,'02_ประเมิน50ร้าน'!$A$2:$BR$51,65,FALSE),"")</f>
        <v>0</v>
      </c>
      <c r="O11" s="11">
        <f>IFERROR(VLOOKUP(A11,'02_ประเมิน50ร้าน'!$A$2:$BR$51,66,FALSE),"")</f>
        <v>0</v>
      </c>
      <c r="P11" s="11">
        <f>IFERROR(VLOOKUP(A11,'02_ประเมิน50ร้าน'!$A$2:$BR$51,67,FALSE),"")</f>
        <v>0.6428571429</v>
      </c>
      <c r="Q11" s="11">
        <f>IFERROR(VLOOKUP(A11,'02_ประเมิน50ร้าน'!$A$2:$BR$51,68,FALSE),"")</f>
        <v>0.85</v>
      </c>
      <c r="R11" s="11">
        <f>IFERROR(VLOOKUP(A11,'02_ประเมิน50ร้าน'!$A$2:$BR$51,69,FALSE),"")</f>
        <v>0.8125</v>
      </c>
      <c r="S11" s="8" t="str">
        <f t="shared" si="1"/>
        <v>ตรวจข้อคะแนน 0-1 และจัดทำแผน 7/30/90 วัน</v>
      </c>
      <c r="T11" s="8" t="str">
        <f>IFERROR(VLOOKUP(A11,'02_ประเมิน50ร้าน'!$A$2:$BR$51,71,FALSE),"")</f>
        <v/>
      </c>
    </row>
    <row r="12">
      <c r="A12" s="8" t="s">
        <v>165</v>
      </c>
      <c r="B12" s="8" t="str">
        <f>IFERROR(VLOOKUP(A12,'01_ข้อมูลร้าน'!$A$2:$C$51,2,FALSE),"")</f>
        <v>ร้านอาหาร ทะเลลานโพธิ์ ซีฟู้ด</v>
      </c>
      <c r="C12" s="8" t="str">
        <f>IFERROR(VLOOKUP(A12,'01_ข้อมูลร้าน'!$A$2:$C$51,3,FALSE),"")</f>
        <v/>
      </c>
      <c r="D12" s="11">
        <f>IFERROR(VLOOKUP(A12,'02_ประเมิน50ร้าน'!$A$2:$BR$51,55,FALSE),"")</f>
        <v>1</v>
      </c>
      <c r="E12" s="8">
        <f>IFERROR(VLOOKUP(A12,'02_ประเมิน50ร้าน'!$A$2:$BR$51,56,FALSE),"")</f>
        <v>134</v>
      </c>
      <c r="F12" s="11">
        <f>IFERROR(VLOOKUP(A12,'02_ประเมิน50ร้าน'!$A$2:$BR$51,57,FALSE),"")</f>
        <v>0.67</v>
      </c>
      <c r="G12" s="11">
        <f>IFERROR(VLOOKUP(A12,'02_ประเมิน50ร้าน'!$A$2:$BR$51,58,FALSE),"")</f>
        <v>0.6722619048</v>
      </c>
      <c r="H12" s="8">
        <f>IFERROR(VLOOKUP(A12,'02_ประเมิน50ร้าน'!$A$2:$BR$51,59,FALSE),"")</f>
        <v>5</v>
      </c>
      <c r="I12" s="8" t="str">
        <f>IFERROR(VLOOKUP(A12,'02_ประเมิน50ร้าน'!$A$2:$BR$51,60,FALSE),"")</f>
        <v>ดี</v>
      </c>
      <c r="J12" s="8" t="str">
        <f>IFERROR(VLOOKUP(A12,'02_ประเมิน50ร้าน'!$A$2:$BR$51,61,FALSE),"")</f>
        <v>มิติ 1</v>
      </c>
      <c r="K12" s="11">
        <f>IFERROR(VLOOKUP(A12,'02_ประเมิน50ร้าน'!$A$2:$BR$51,62,FALSE),"")</f>
        <v>0.5714285714</v>
      </c>
      <c r="L12" s="11">
        <f>IFERROR(VLOOKUP(A12,'02_ประเมิน50ร้าน'!$A$2:$BR$51,63,FALSE),"")</f>
        <v>0.7857142857</v>
      </c>
      <c r="M12" s="11">
        <f>IFERROR(VLOOKUP(A12,'02_ประเมิน50ร้าน'!$A$2:$BR$51,64,FALSE),"")</f>
        <v>0.7083333333</v>
      </c>
      <c r="N12" s="11">
        <f>IFERROR(VLOOKUP(A12,'02_ประเมิน50ร้าน'!$A$2:$BR$51,65,FALSE),"")</f>
        <v>0.5714285714</v>
      </c>
      <c r="O12" s="11">
        <f>IFERROR(VLOOKUP(A12,'02_ประเมิน50ร้าน'!$A$2:$BR$51,66,FALSE),"")</f>
        <v>0.5714285714</v>
      </c>
      <c r="P12" s="11">
        <f>IFERROR(VLOOKUP(A12,'02_ประเมิน50ร้าน'!$A$2:$BR$51,67,FALSE),"")</f>
        <v>0.7857142857</v>
      </c>
      <c r="Q12" s="11">
        <f>IFERROR(VLOOKUP(A12,'02_ประเมิน50ร้าน'!$A$2:$BR$51,68,FALSE),"")</f>
        <v>0.65</v>
      </c>
      <c r="R12" s="11">
        <f>IFERROR(VLOOKUP(A12,'02_ประเมิน50ร้าน'!$A$2:$BR$51,69,FALSE),"")</f>
        <v>0.75</v>
      </c>
      <c r="S12" s="8" t="str">
        <f t="shared" si="1"/>
        <v>ตรวจข้อคะแนน 0-1 และจัดทำแผน 7/30/90 วัน</v>
      </c>
      <c r="T12" s="8" t="str">
        <f>IFERROR(VLOOKUP(A12,'02_ประเมิน50ร้าน'!$A$2:$BR$51,71,FALSE),"")</f>
        <v/>
      </c>
    </row>
    <row r="13">
      <c r="A13" s="8" t="s">
        <v>169</v>
      </c>
      <c r="B13" s="8" t="str">
        <f>IFERROR(VLOOKUP(A13,'01_ข้อมูลร้าน'!$A$2:$C$51,2,FALSE),"")</f>
        <v>นายกุ่ยไก่หุบบอน @เขาชีจรรย์</v>
      </c>
      <c r="C13" s="8" t="str">
        <f>IFERROR(VLOOKUP(A13,'01_ข้อมูลร้าน'!$A$2:$C$51,3,FALSE),"")</f>
        <v/>
      </c>
      <c r="D13" s="11">
        <f>IFERROR(VLOOKUP(A13,'02_ประเมิน50ร้าน'!$A$2:$BR$51,55,FALSE),"")</f>
        <v>1</v>
      </c>
      <c r="E13" s="8">
        <f>IFERROR(VLOOKUP(A13,'02_ประเมิน50ร้าน'!$A$2:$BR$51,56,FALSE),"")</f>
        <v>134</v>
      </c>
      <c r="F13" s="11">
        <f>IFERROR(VLOOKUP(A13,'02_ประเมิน50ร้าน'!$A$2:$BR$51,57,FALSE),"")</f>
        <v>0.67</v>
      </c>
      <c r="G13" s="11">
        <f>IFERROR(VLOOKUP(A13,'02_ประเมิน50ร้าน'!$A$2:$BR$51,58,FALSE),"")</f>
        <v>0.6603869048</v>
      </c>
      <c r="H13" s="8">
        <f>IFERROR(VLOOKUP(A13,'02_ประเมิน50ร้าน'!$A$2:$BR$51,59,FALSE),"")</f>
        <v>6</v>
      </c>
      <c r="I13" s="8" t="str">
        <f>IFERROR(VLOOKUP(A13,'02_ประเมิน50ร้าน'!$A$2:$BR$51,60,FALSE),"")</f>
        <v>ดี</v>
      </c>
      <c r="J13" s="8" t="str">
        <f>IFERROR(VLOOKUP(A13,'02_ประเมิน50ร้าน'!$A$2:$BR$51,61,FALSE),"")</f>
        <v>มิติ 4</v>
      </c>
      <c r="K13" s="11">
        <f>IFERROR(VLOOKUP(A13,'02_ประเมิน50ร้าน'!$A$2:$BR$51,62,FALSE),"")</f>
        <v>0.6428571429</v>
      </c>
      <c r="L13" s="11">
        <f>IFERROR(VLOOKUP(A13,'02_ประเมิน50ร้าน'!$A$2:$BR$51,63,FALSE),"")</f>
        <v>0.7142857143</v>
      </c>
      <c r="M13" s="11">
        <f>IFERROR(VLOOKUP(A13,'02_ประเมิน50ร้าน'!$A$2:$BR$51,64,FALSE),"")</f>
        <v>0.7083333333</v>
      </c>
      <c r="N13" s="11">
        <f>IFERROR(VLOOKUP(A13,'02_ประเมิน50ร้าน'!$A$2:$BR$51,65,FALSE),"")</f>
        <v>0.4285714286</v>
      </c>
      <c r="O13" s="11">
        <f>IFERROR(VLOOKUP(A13,'02_ประเมิน50ร้าน'!$A$2:$BR$51,66,FALSE),"")</f>
        <v>0.6071428571</v>
      </c>
      <c r="P13" s="11">
        <f>IFERROR(VLOOKUP(A13,'02_ประเมิน50ร้าน'!$A$2:$BR$51,67,FALSE),"")</f>
        <v>0.75</v>
      </c>
      <c r="Q13" s="11">
        <f>IFERROR(VLOOKUP(A13,'02_ประเมิน50ร้าน'!$A$2:$BR$51,68,FALSE),"")</f>
        <v>0.9</v>
      </c>
      <c r="R13" s="11">
        <f>IFERROR(VLOOKUP(A13,'02_ประเมิน50ร้าน'!$A$2:$BR$51,69,FALSE),"")</f>
        <v>0.6875</v>
      </c>
      <c r="S13" s="8" t="str">
        <f t="shared" si="1"/>
        <v>ตรวจข้อคะแนน 0-1 และจัดทำแผน 7/30/90 วัน</v>
      </c>
      <c r="T13" s="8" t="str">
        <f>IFERROR(VLOOKUP(A13,'02_ประเมิน50ร้าน'!$A$2:$BR$51,71,FALSE),"")</f>
        <v/>
      </c>
    </row>
    <row r="14">
      <c r="A14" s="8" t="s">
        <v>174</v>
      </c>
      <c r="B14" s="8" t="str">
        <f>IFERROR(VLOOKUP(A14,'01_ข้อมูลร้าน'!$A$2:$C$51,2,FALSE),"")</f>
        <v>บ้านสวนบางแสน</v>
      </c>
      <c r="C14" s="8" t="str">
        <f>IFERROR(VLOOKUP(A14,'01_ข้อมูลร้าน'!$A$2:$C$51,3,FALSE),"")</f>
        <v/>
      </c>
      <c r="D14" s="11">
        <f>IFERROR(VLOOKUP(A14,'02_ประเมิน50ร้าน'!$A$2:$BR$51,55,FALSE),"")</f>
        <v>1</v>
      </c>
      <c r="E14" s="8">
        <f>IFERROR(VLOOKUP(A14,'02_ประเมิน50ร้าน'!$A$2:$BR$51,56,FALSE),"")</f>
        <v>111</v>
      </c>
      <c r="F14" s="11">
        <f>IFERROR(VLOOKUP(A14,'02_ประเมิน50ร้าน'!$A$2:$BR$51,57,FALSE),"")</f>
        <v>0.555</v>
      </c>
      <c r="G14" s="11">
        <f>IFERROR(VLOOKUP(A14,'02_ประเมิน50ร้าน'!$A$2:$BR$51,58,FALSE),"")</f>
        <v>0.5672916667</v>
      </c>
      <c r="H14" s="8">
        <f>IFERROR(VLOOKUP(A14,'02_ประเมิน50ร้าน'!$A$2:$BR$51,59,FALSE),"")</f>
        <v>14</v>
      </c>
      <c r="I14" s="8" t="str">
        <f>IFERROR(VLOOKUP(A14,'02_ประเมิน50ร้าน'!$A$2:$BR$51,60,FALSE),"")</f>
        <v>ต้องพัฒนา</v>
      </c>
      <c r="J14" s="8" t="str">
        <f>IFERROR(VLOOKUP(A14,'02_ประเมิน50ร้าน'!$A$2:$BR$51,61,FALSE),"")</f>
        <v>มิติ 4</v>
      </c>
      <c r="K14" s="11">
        <f>IFERROR(VLOOKUP(A14,'02_ประเมิน50ร้าน'!$A$2:$BR$51,62,FALSE),"")</f>
        <v>0.5</v>
      </c>
      <c r="L14" s="11">
        <f>IFERROR(VLOOKUP(A14,'02_ประเมิน50ร้าน'!$A$2:$BR$51,63,FALSE),"")</f>
        <v>0.5</v>
      </c>
      <c r="M14" s="11">
        <f>IFERROR(VLOOKUP(A14,'02_ประเมิน50ร้าน'!$A$2:$BR$51,64,FALSE),"")</f>
        <v>0.5416666667</v>
      </c>
      <c r="N14" s="11">
        <f>IFERROR(VLOOKUP(A14,'02_ประเมิน50ร้าน'!$A$2:$BR$51,65,FALSE),"")</f>
        <v>0.4285714286</v>
      </c>
      <c r="O14" s="11">
        <f>IFERROR(VLOOKUP(A14,'02_ประเมิน50ร้าน'!$A$2:$BR$51,66,FALSE),"")</f>
        <v>0.5714285714</v>
      </c>
      <c r="P14" s="11">
        <f>IFERROR(VLOOKUP(A14,'02_ประเมิน50ร้าน'!$A$2:$BR$51,67,FALSE),"")</f>
        <v>0.75</v>
      </c>
      <c r="Q14" s="11">
        <f>IFERROR(VLOOKUP(A14,'02_ประเมิน50ร้าน'!$A$2:$BR$51,68,FALSE),"")</f>
        <v>0.5</v>
      </c>
      <c r="R14" s="11">
        <f>IFERROR(VLOOKUP(A14,'02_ประเมิน50ร้าน'!$A$2:$BR$51,69,FALSE),"")</f>
        <v>0.6875</v>
      </c>
      <c r="S14" s="8" t="str">
        <f t="shared" si="1"/>
        <v>ตรวจข้อคะแนน 0-1 และจัดทำแผน 7/30/90 วัน</v>
      </c>
      <c r="T14" s="8" t="str">
        <f>IFERROR(VLOOKUP(A14,'02_ประเมิน50ร้าน'!$A$2:$BR$51,71,FALSE),"")</f>
        <v/>
      </c>
    </row>
    <row r="15">
      <c r="A15" s="8" t="s">
        <v>176</v>
      </c>
      <c r="B15" s="8" t="str">
        <f>IFERROR(VLOOKUP(A15,'01_ข้อมูลร้าน'!$A$2:$C$51,2,FALSE),"")</f>
        <v>สวนแววอรุณ</v>
      </c>
      <c r="C15" s="8" t="str">
        <f>IFERROR(VLOOKUP(A15,'01_ข้อมูลร้าน'!$A$2:$C$51,3,FALSE),"")</f>
        <v/>
      </c>
      <c r="D15" s="11">
        <f>IFERROR(VLOOKUP(A15,'02_ประเมิน50ร้าน'!$A$2:$BR$51,55,FALSE),"")</f>
        <v>1</v>
      </c>
      <c r="E15" s="8">
        <f>IFERROR(VLOOKUP(A15,'02_ประเมิน50ร้าน'!$A$2:$BR$51,56,FALSE),"")</f>
        <v>131</v>
      </c>
      <c r="F15" s="11">
        <f>IFERROR(VLOOKUP(A15,'02_ประเมิน50ร้าน'!$A$2:$BR$51,57,FALSE),"")</f>
        <v>0.655</v>
      </c>
      <c r="G15" s="11">
        <f>IFERROR(VLOOKUP(A15,'02_ประเมิน50ร้าน'!$A$2:$BR$51,58,FALSE),"")</f>
        <v>0.6570535714</v>
      </c>
      <c r="H15" s="8">
        <f>IFERROR(VLOOKUP(A15,'02_ประเมิน50ร้าน'!$A$2:$BR$51,59,FALSE),"")</f>
        <v>4</v>
      </c>
      <c r="I15" s="8" t="str">
        <f>IFERROR(VLOOKUP(A15,'02_ประเมิน50ร้าน'!$A$2:$BR$51,60,FALSE),"")</f>
        <v>ดี</v>
      </c>
      <c r="J15" s="8" t="str">
        <f>IFERROR(VLOOKUP(A15,'02_ประเมิน50ร้าน'!$A$2:$BR$51,61,FALSE),"")</f>
        <v>มิติ 7</v>
      </c>
      <c r="K15" s="11">
        <f>IFERROR(VLOOKUP(A15,'02_ประเมิน50ร้าน'!$A$2:$BR$51,62,FALSE),"")</f>
        <v>0.6428571429</v>
      </c>
      <c r="L15" s="11">
        <f>IFERROR(VLOOKUP(A15,'02_ประเมิน50ร้าน'!$A$2:$BR$51,63,FALSE),"")</f>
        <v>0.6428571429</v>
      </c>
      <c r="M15" s="11">
        <f>IFERROR(VLOOKUP(A15,'02_ประเมิน50ร้าน'!$A$2:$BR$51,64,FALSE),"")</f>
        <v>0.75</v>
      </c>
      <c r="N15" s="11">
        <f>IFERROR(VLOOKUP(A15,'02_ประเมิน50ร้าน'!$A$2:$BR$51,65,FALSE),"")</f>
        <v>0.6071428571</v>
      </c>
      <c r="O15" s="11">
        <f>IFERROR(VLOOKUP(A15,'02_ประเมิน50ร้าน'!$A$2:$BR$51,66,FALSE),"")</f>
        <v>0.6785714286</v>
      </c>
      <c r="P15" s="11">
        <f>IFERROR(VLOOKUP(A15,'02_ประเมิน50ร้าน'!$A$2:$BR$51,67,FALSE),"")</f>
        <v>0.6428571429</v>
      </c>
      <c r="Q15" s="11">
        <f>IFERROR(VLOOKUP(A15,'02_ประเมิน50ร้าน'!$A$2:$BR$51,68,FALSE),"")</f>
        <v>0.6</v>
      </c>
      <c r="R15" s="11">
        <f>IFERROR(VLOOKUP(A15,'02_ประเมิน50ร้าน'!$A$2:$BR$51,69,FALSE),"")</f>
        <v>0.6875</v>
      </c>
      <c r="S15" s="8" t="str">
        <f t="shared" si="1"/>
        <v>ตรวจข้อคะแนน 0-1 และจัดทำแผน 7/30/90 วัน</v>
      </c>
      <c r="T15" s="8" t="str">
        <f>IFERROR(VLOOKUP(A15,'02_ประเมิน50ร้าน'!$A$2:$BR$51,71,FALSE),"")</f>
        <v/>
      </c>
    </row>
    <row r="16">
      <c r="A16" s="8" t="s">
        <v>182</v>
      </c>
      <c r="B16" s="8" t="str">
        <f>IFERROR(VLOOKUP(A16,'01_ข้อมูลร้าน'!$A$2:$C$51,2,FALSE),"")</f>
        <v>คุณอี๊ดกะเพราแซ่บจี้ด</v>
      </c>
      <c r="C16" s="8" t="str">
        <f>IFERROR(VLOOKUP(A16,'01_ข้อมูลร้าน'!$A$2:$C$51,3,FALSE),"")</f>
        <v/>
      </c>
      <c r="D16" s="11">
        <f>IFERROR(VLOOKUP(A16,'02_ประเมิน50ร้าน'!$A$2:$BR$51,55,FALSE),"")</f>
        <v>1</v>
      </c>
      <c r="E16" s="8">
        <f>IFERROR(VLOOKUP(A16,'02_ประเมิน50ร้าน'!$A$2:$BR$51,56,FALSE),"")</f>
        <v>84</v>
      </c>
      <c r="F16" s="11">
        <f>IFERROR(VLOOKUP(A16,'02_ประเมิน50ร้าน'!$A$2:$BR$51,57,FALSE),"")</f>
        <v>0.42</v>
      </c>
      <c r="G16" s="11">
        <f>IFERROR(VLOOKUP(A16,'02_ประเมิน50ร้าน'!$A$2:$BR$51,58,FALSE),"")</f>
        <v>0.4239583333</v>
      </c>
      <c r="H16" s="8">
        <f>IFERROR(VLOOKUP(A16,'02_ประเมิน50ร้าน'!$A$2:$BR$51,59,FALSE),"")</f>
        <v>22</v>
      </c>
      <c r="I16" s="8" t="str">
        <f>IFERROR(VLOOKUP(A16,'02_ประเมิน50ร้าน'!$A$2:$BR$51,60,FALSE),"")</f>
        <v>เร่งแก้ไข</v>
      </c>
      <c r="J16" s="8" t="str">
        <f>IFERROR(VLOOKUP(A16,'02_ประเมิน50ร้าน'!$A$2:$BR$51,61,FALSE),"")</f>
        <v>มิติ 4</v>
      </c>
      <c r="K16" s="11">
        <f>IFERROR(VLOOKUP(A16,'02_ประเมิน50ร้าน'!$A$2:$BR$51,62,FALSE),"")</f>
        <v>0.4285714286</v>
      </c>
      <c r="L16" s="11">
        <f>IFERROR(VLOOKUP(A16,'02_ประเมิน50ร้าน'!$A$2:$BR$51,63,FALSE),"")</f>
        <v>0.4642857143</v>
      </c>
      <c r="M16" s="11">
        <f>IFERROR(VLOOKUP(A16,'02_ประเมิน50ร้าน'!$A$2:$BR$51,64,FALSE),"")</f>
        <v>0.3333333333</v>
      </c>
      <c r="N16" s="11">
        <f>IFERROR(VLOOKUP(A16,'02_ประเมิน50ร้าน'!$A$2:$BR$51,65,FALSE),"")</f>
        <v>0.1785714286</v>
      </c>
      <c r="O16" s="11">
        <f>IFERROR(VLOOKUP(A16,'02_ประเมิน50ร้าน'!$A$2:$BR$51,66,FALSE),"")</f>
        <v>0.4285714286</v>
      </c>
      <c r="P16" s="11">
        <f>IFERROR(VLOOKUP(A16,'02_ประเมิน50ร้าน'!$A$2:$BR$51,67,FALSE),"")</f>
        <v>0.5</v>
      </c>
      <c r="Q16" s="11">
        <f>IFERROR(VLOOKUP(A16,'02_ประเมิน50ร้าน'!$A$2:$BR$51,68,FALSE),"")</f>
        <v>0.45</v>
      </c>
      <c r="R16" s="11">
        <f>IFERROR(VLOOKUP(A16,'02_ประเมิน50ร้าน'!$A$2:$BR$51,69,FALSE),"")</f>
        <v>0.6875</v>
      </c>
      <c r="S16" s="8" t="str">
        <f t="shared" si="1"/>
        <v>ตรวจข้อคะแนน 0-1 และจัดทำแผน 7/30/90 วัน</v>
      </c>
      <c r="T16" s="8" t="str">
        <f>IFERROR(VLOOKUP(A16,'02_ประเมิน50ร้าน'!$A$2:$BR$51,71,FALSE),"")</f>
        <v/>
      </c>
    </row>
    <row r="17">
      <c r="A17" s="8" t="s">
        <v>184</v>
      </c>
      <c r="B17" s="8" t="str">
        <f>IFERROR(VLOOKUP(A17,'01_ข้อมูลร้าน'!$A$2:$C$51,2,FALSE),"")</f>
        <v>หมูสะเต๊ะอพอลโล</v>
      </c>
      <c r="C17" s="8" t="str">
        <f>IFERROR(VLOOKUP(A17,'01_ข้อมูลร้าน'!$A$2:$C$51,3,FALSE),"")</f>
        <v/>
      </c>
      <c r="D17" s="11">
        <f>IFERROR(VLOOKUP(A17,'02_ประเมิน50ร้าน'!$A$2:$BR$51,55,FALSE),"")</f>
        <v>0</v>
      </c>
      <c r="E17" s="8">
        <f>IFERROR(VLOOKUP(A17,'02_ประเมิน50ร้าน'!$A$2:$BR$51,56,FALSE),"")</f>
        <v>0</v>
      </c>
      <c r="F17" s="11">
        <f>IFERROR(VLOOKUP(A17,'02_ประเมิน50ร้าน'!$A$2:$BR$51,57,FALSE),"")</f>
        <v>0</v>
      </c>
      <c r="G17" s="11">
        <f>IFERROR(VLOOKUP(A17,'02_ประเมิน50ร้าน'!$A$2:$BR$51,58,FALSE),"")</f>
        <v>0</v>
      </c>
      <c r="H17" s="8">
        <f>IFERROR(VLOOKUP(A17,'02_ประเมิน50ร้าน'!$A$2:$BR$51,59,FALSE),"")</f>
        <v>0</v>
      </c>
      <c r="I17" s="8" t="str">
        <f>IFERROR(VLOOKUP(A17,'02_ประเมิน50ร้าน'!$A$2:$BR$51,60,FALSE),"")</f>
        <v>ยังไม่ประเมิน</v>
      </c>
      <c r="J17" s="8" t="str">
        <f>IFERROR(VLOOKUP(A17,'02_ประเมิน50ร้าน'!$A$2:$BR$51,61,FALSE),"")</f>
        <v>ยังไม่ประเมิน</v>
      </c>
      <c r="K17" s="11">
        <f>IFERROR(VLOOKUP(A17,'02_ประเมิน50ร้าน'!$A$2:$BR$51,62,FALSE),"")</f>
        <v>0</v>
      </c>
      <c r="L17" s="11">
        <f>IFERROR(VLOOKUP(A17,'02_ประเมิน50ร้าน'!$A$2:$BR$51,63,FALSE),"")</f>
        <v>0</v>
      </c>
      <c r="M17" s="11">
        <f>IFERROR(VLOOKUP(A17,'02_ประเมิน50ร้าน'!$A$2:$BR$51,64,FALSE),"")</f>
        <v>0</v>
      </c>
      <c r="N17" s="11">
        <f>IFERROR(VLOOKUP(A17,'02_ประเมิน50ร้าน'!$A$2:$BR$51,65,FALSE),"")</f>
        <v>0</v>
      </c>
      <c r="O17" s="11">
        <f>IFERROR(VLOOKUP(A17,'02_ประเมิน50ร้าน'!$A$2:$BR$51,66,FALSE),"")</f>
        <v>0</v>
      </c>
      <c r="P17" s="11">
        <f>IFERROR(VLOOKUP(A17,'02_ประเมิน50ร้าน'!$A$2:$BR$51,67,FALSE),"")</f>
        <v>0</v>
      </c>
      <c r="Q17" s="11">
        <f>IFERROR(VLOOKUP(A17,'02_ประเมิน50ร้าน'!$A$2:$BR$51,68,FALSE),"")</f>
        <v>0</v>
      </c>
      <c r="R17" s="11">
        <f>IFERROR(VLOOKUP(A17,'02_ประเมิน50ร้าน'!$A$2:$BR$51,69,FALSE),"")</f>
        <v>0</v>
      </c>
      <c r="S17" s="8" t="str">
        <f t="shared" si="1"/>
        <v>กรอกคะแนนประเมินก่อน</v>
      </c>
      <c r="T17" s="8" t="str">
        <f>IFERROR(VLOOKUP(A17,'02_ประเมิน50ร้าน'!$A$2:$BR$51,71,FALSE),"")</f>
        <v/>
      </c>
    </row>
    <row r="18">
      <c r="A18" s="8" t="s">
        <v>190</v>
      </c>
      <c r="B18" s="8" t="str">
        <f>IFERROR(VLOOKUP(A18,'01_ข้อมูลร้าน'!$A$2:$C$51,2,FALSE),"")</f>
        <v>วันวาน คาเฟ่</v>
      </c>
      <c r="C18" s="8" t="str">
        <f>IFERROR(VLOOKUP(A18,'01_ข้อมูลร้าน'!$A$2:$C$51,3,FALSE),"")</f>
        <v/>
      </c>
      <c r="D18" s="11">
        <f>IFERROR(VLOOKUP(A18,'02_ประเมิน50ร้าน'!$A$2:$BR$51,55,FALSE),"")</f>
        <v>1</v>
      </c>
      <c r="E18" s="8">
        <f>IFERROR(VLOOKUP(A18,'02_ประเมิน50ร้าน'!$A$2:$BR$51,56,FALSE),"")</f>
        <v>84</v>
      </c>
      <c r="F18" s="11">
        <f>IFERROR(VLOOKUP(A18,'02_ประเมิน50ร้าน'!$A$2:$BR$51,57,FALSE),"")</f>
        <v>0.42</v>
      </c>
      <c r="G18" s="11">
        <f>IFERROR(VLOOKUP(A18,'02_ประเมิน50ร้าน'!$A$2:$BR$51,58,FALSE),"")</f>
        <v>0.4388095238</v>
      </c>
      <c r="H18" s="8">
        <f>IFERROR(VLOOKUP(A18,'02_ประเมิน50ร้าน'!$A$2:$BR$51,59,FALSE),"")</f>
        <v>17</v>
      </c>
      <c r="I18" s="8" t="str">
        <f>IFERROR(VLOOKUP(A18,'02_ประเมิน50ร้าน'!$A$2:$BR$51,60,FALSE),"")</f>
        <v>เร่งแก้ไข</v>
      </c>
      <c r="J18" s="8" t="str">
        <f>IFERROR(VLOOKUP(A18,'02_ประเมิน50ร้าน'!$A$2:$BR$51,61,FALSE),"")</f>
        <v>มิติ 7</v>
      </c>
      <c r="K18" s="11">
        <f>IFERROR(VLOOKUP(A18,'02_ประเมิน50ร้าน'!$A$2:$BR$51,62,FALSE),"")</f>
        <v>0.3571428571</v>
      </c>
      <c r="L18" s="11">
        <f>IFERROR(VLOOKUP(A18,'02_ประเมิน50ร้าน'!$A$2:$BR$51,63,FALSE),"")</f>
        <v>0.4642857143</v>
      </c>
      <c r="M18" s="11">
        <f>IFERROR(VLOOKUP(A18,'02_ประเมิน50ร้าน'!$A$2:$BR$51,64,FALSE),"")</f>
        <v>0.4166666667</v>
      </c>
      <c r="N18" s="11">
        <f>IFERROR(VLOOKUP(A18,'02_ประเมิน50ร้าน'!$A$2:$BR$51,65,FALSE),"")</f>
        <v>0.3928571429</v>
      </c>
      <c r="O18" s="11">
        <f>IFERROR(VLOOKUP(A18,'02_ประเมิน50ร้าน'!$A$2:$BR$51,66,FALSE),"")</f>
        <v>0.4285714286</v>
      </c>
      <c r="P18" s="11">
        <f>IFERROR(VLOOKUP(A18,'02_ประเมิน50ร้าน'!$A$2:$BR$51,67,FALSE),"")</f>
        <v>0.5714285714</v>
      </c>
      <c r="Q18" s="11">
        <f>IFERROR(VLOOKUP(A18,'02_ประเมิน50ร้าน'!$A$2:$BR$51,68,FALSE),"")</f>
        <v>0.2</v>
      </c>
      <c r="R18" s="11">
        <f>IFERROR(VLOOKUP(A18,'02_ประเมิน50ร้าน'!$A$2:$BR$51,69,FALSE),"")</f>
        <v>0.5</v>
      </c>
      <c r="S18" s="8" t="str">
        <f t="shared" si="1"/>
        <v>ตรวจข้อคะแนน 0-1 และจัดทำแผน 7/30/90 วัน</v>
      </c>
      <c r="T18" s="8" t="str">
        <f>IFERROR(VLOOKUP(A18,'02_ประเมิน50ร้าน'!$A$2:$BR$51,71,FALSE),"")</f>
        <v/>
      </c>
    </row>
    <row r="19">
      <c r="A19" s="8" t="s">
        <v>196</v>
      </c>
      <c r="B19" s="8" t="str">
        <f>IFERROR(VLOOKUP(A19,'01_ข้อมูลร้าน'!$A$2:$C$51,2,FALSE),"")</f>
        <v>อิ่มอุ่น ณ พัทยา</v>
      </c>
      <c r="C19" s="8" t="str">
        <f>IFERROR(VLOOKUP(A19,'01_ข้อมูลร้าน'!$A$2:$C$51,3,FALSE),"")</f>
        <v/>
      </c>
      <c r="D19" s="11">
        <f>IFERROR(VLOOKUP(A19,'02_ประเมิน50ร้าน'!$A$2:$BR$51,55,FALSE),"")</f>
        <v>1</v>
      </c>
      <c r="E19" s="8">
        <f>IFERROR(VLOOKUP(A19,'02_ประเมิน50ร้าน'!$A$2:$BR$51,56,FALSE),"")</f>
        <v>109</v>
      </c>
      <c r="F19" s="11">
        <f>IFERROR(VLOOKUP(A19,'02_ประเมิน50ร้าน'!$A$2:$BR$51,57,FALSE),"")</f>
        <v>0.545</v>
      </c>
      <c r="G19" s="11">
        <f>IFERROR(VLOOKUP(A19,'02_ประเมิน50ร้าน'!$A$2:$BR$51,58,FALSE),"")</f>
        <v>0.560922619</v>
      </c>
      <c r="H19" s="8">
        <f>IFERROR(VLOOKUP(A19,'02_ประเมิน50ร้าน'!$A$2:$BR$51,59,FALSE),"")</f>
        <v>7</v>
      </c>
      <c r="I19" s="8" t="str">
        <f>IFERROR(VLOOKUP(A19,'02_ประเมิน50ร้าน'!$A$2:$BR$51,60,FALSE),"")</f>
        <v>ต้องพัฒนา</v>
      </c>
      <c r="J19" s="8" t="str">
        <f>IFERROR(VLOOKUP(A19,'02_ประเมิน50ร้าน'!$A$2:$BR$51,61,FALSE),"")</f>
        <v>มิติ 8</v>
      </c>
      <c r="K19" s="11">
        <f>IFERROR(VLOOKUP(A19,'02_ประเมิน50ร้าน'!$A$2:$BR$51,62,FALSE),"")</f>
        <v>0.5357142857</v>
      </c>
      <c r="L19" s="11">
        <f>IFERROR(VLOOKUP(A19,'02_ประเมิน50ร้าน'!$A$2:$BR$51,63,FALSE),"")</f>
        <v>0.5714285714</v>
      </c>
      <c r="M19" s="11">
        <f>IFERROR(VLOOKUP(A19,'02_ประเมิน50ร้าน'!$A$2:$BR$51,64,FALSE),"")</f>
        <v>0.5833333333</v>
      </c>
      <c r="N19" s="11">
        <f>IFERROR(VLOOKUP(A19,'02_ประเมิน50ร้าน'!$A$2:$BR$51,65,FALSE),"")</f>
        <v>0.5357142857</v>
      </c>
      <c r="O19" s="11">
        <f>IFERROR(VLOOKUP(A19,'02_ประเมิน50ร้าน'!$A$2:$BR$51,66,FALSE),"")</f>
        <v>0.6785714286</v>
      </c>
      <c r="P19" s="11">
        <f>IFERROR(VLOOKUP(A19,'02_ประเมิน50ร้าน'!$A$2:$BR$51,67,FALSE),"")</f>
        <v>0.5714285714</v>
      </c>
      <c r="Q19" s="11">
        <f>IFERROR(VLOOKUP(A19,'02_ประเมิน50ร้าน'!$A$2:$BR$51,68,FALSE),"")</f>
        <v>0.45</v>
      </c>
      <c r="R19" s="11">
        <f>IFERROR(VLOOKUP(A19,'02_ประเมิน50ร้าน'!$A$2:$BR$51,69,FALSE),"")</f>
        <v>0.3125</v>
      </c>
      <c r="S19" s="8" t="str">
        <f t="shared" si="1"/>
        <v>ตรวจข้อคะแนน 0-1 และจัดทำแผน 7/30/90 วัน</v>
      </c>
      <c r="T19" s="8" t="str">
        <f>IFERROR(VLOOKUP(A19,'02_ประเมิน50ร้าน'!$A$2:$BR$51,71,FALSE),"")</f>
        <v/>
      </c>
    </row>
    <row r="20">
      <c r="A20" s="8" t="s">
        <v>204</v>
      </c>
      <c r="B20" s="8" t="str">
        <f>IFERROR(VLOOKUP(A20,'01_ข้อมูลร้าน'!$A$2:$C$51,2,FALSE),"")</f>
        <v>ร้านอาหารบ่อทองบุรี</v>
      </c>
      <c r="C20" s="8" t="str">
        <f>IFERROR(VLOOKUP(A20,'01_ข้อมูลร้าน'!$A$2:$C$51,3,FALSE),"")</f>
        <v/>
      </c>
      <c r="D20" s="11">
        <f>IFERROR(VLOOKUP(A20,'02_ประเมิน50ร้าน'!$A$2:$BR$51,55,FALSE),"")</f>
        <v>1</v>
      </c>
      <c r="E20" s="8">
        <f>IFERROR(VLOOKUP(A20,'02_ประเมิน50ร้าน'!$A$2:$BR$51,56,FALSE),"")</f>
        <v>152</v>
      </c>
      <c r="F20" s="11">
        <f>IFERROR(VLOOKUP(A20,'02_ประเมิน50ร้าน'!$A$2:$BR$51,57,FALSE),"")</f>
        <v>0.76</v>
      </c>
      <c r="G20" s="11">
        <f>IFERROR(VLOOKUP(A20,'02_ประเมิน50ร้าน'!$A$2:$BR$51,58,FALSE),"")</f>
        <v>0.7693154762</v>
      </c>
      <c r="H20" s="8">
        <f>IFERROR(VLOOKUP(A20,'02_ประเมิน50ร้าน'!$A$2:$BR$51,59,FALSE),"")</f>
        <v>3</v>
      </c>
      <c r="I20" s="8" t="str">
        <f>IFERROR(VLOOKUP(A20,'02_ประเมิน50ร้าน'!$A$2:$BR$51,60,FALSE),"")</f>
        <v>ดี</v>
      </c>
      <c r="J20" s="8" t="str">
        <f>IFERROR(VLOOKUP(A20,'02_ประเมิน50ร้าน'!$A$2:$BR$51,61,FALSE),"")</f>
        <v>มิติ 1</v>
      </c>
      <c r="K20" s="11">
        <f>IFERROR(VLOOKUP(A20,'02_ประเมิน50ร้าน'!$A$2:$BR$51,62,FALSE),"")</f>
        <v>0.6428571429</v>
      </c>
      <c r="L20" s="11">
        <f>IFERROR(VLOOKUP(A20,'02_ประเมิน50ร้าน'!$A$2:$BR$51,63,FALSE),"")</f>
        <v>0.9642857143</v>
      </c>
      <c r="M20" s="11">
        <f>IFERROR(VLOOKUP(A20,'02_ประเมิน50ร้าน'!$A$2:$BR$51,64,FALSE),"")</f>
        <v>0.7083333333</v>
      </c>
      <c r="N20" s="11">
        <f>IFERROR(VLOOKUP(A20,'02_ประเมิน50ร้าน'!$A$2:$BR$51,65,FALSE),"")</f>
        <v>0.6785714286</v>
      </c>
      <c r="O20" s="11">
        <f>IFERROR(VLOOKUP(A20,'02_ประเมิน50ร้าน'!$A$2:$BR$51,66,FALSE),"")</f>
        <v>0.6785714286</v>
      </c>
      <c r="P20" s="11">
        <f>IFERROR(VLOOKUP(A20,'02_ประเมิน50ร้าน'!$A$2:$BR$51,67,FALSE),"")</f>
        <v>0.9285714286</v>
      </c>
      <c r="Q20" s="11">
        <f>IFERROR(VLOOKUP(A20,'02_ประเมิน50ร้าน'!$A$2:$BR$51,68,FALSE),"")</f>
        <v>0.75</v>
      </c>
      <c r="R20" s="11">
        <f>IFERROR(VLOOKUP(A20,'02_ประเมิน50ร้าน'!$A$2:$BR$51,69,FALSE),"")</f>
        <v>0.6875</v>
      </c>
      <c r="S20" s="8" t="str">
        <f t="shared" si="1"/>
        <v>ตรวจข้อคะแนน 0-1 และจัดทำแผน 7/30/90 วัน</v>
      </c>
      <c r="T20" s="8" t="str">
        <f>IFERROR(VLOOKUP(A20,'02_ประเมิน50ร้าน'!$A$2:$BR$51,71,FALSE),"")</f>
        <v/>
      </c>
    </row>
    <row r="21" ht="15.75" customHeight="1">
      <c r="A21" s="8" t="s">
        <v>213</v>
      </c>
      <c r="B21" s="8" t="str">
        <f>IFERROR(VLOOKUP(A21,'01_ข้อมูลร้าน'!$A$2:$C$51,2,FALSE),"")</f>
        <v>ผัดไทยคาเฟ่แม่วรรณา</v>
      </c>
      <c r="C21" s="8" t="str">
        <f>IFERROR(VLOOKUP(A21,'01_ข้อมูลร้าน'!$A$2:$C$51,3,FALSE),"")</f>
        <v/>
      </c>
      <c r="D21" s="11">
        <f>IFERROR(VLOOKUP(A21,'02_ประเมิน50ร้าน'!$A$2:$BR$51,55,FALSE),"")</f>
        <v>1</v>
      </c>
      <c r="E21" s="8">
        <f>IFERROR(VLOOKUP(A21,'02_ประเมิน50ร้าน'!$A$2:$BR$51,56,FALSE),"")</f>
        <v>112</v>
      </c>
      <c r="F21" s="11">
        <f>IFERROR(VLOOKUP(A21,'02_ประเมิน50ร้าน'!$A$2:$BR$51,57,FALSE),"")</f>
        <v>0.56</v>
      </c>
      <c r="G21" s="11">
        <f>IFERROR(VLOOKUP(A21,'02_ประเมิน50ร้าน'!$A$2:$BR$51,58,FALSE),"")</f>
        <v>0.5631547619</v>
      </c>
      <c r="H21" s="8">
        <f>IFERROR(VLOOKUP(A21,'02_ประเมิน50ร้าน'!$A$2:$BR$51,59,FALSE),"")</f>
        <v>8</v>
      </c>
      <c r="I21" s="8" t="str">
        <f>IFERROR(VLOOKUP(A21,'02_ประเมิน50ร้าน'!$A$2:$BR$51,60,FALSE),"")</f>
        <v>ต้องพัฒนา</v>
      </c>
      <c r="J21" s="8" t="str">
        <f>IFERROR(VLOOKUP(A21,'02_ประเมิน50ร้าน'!$A$2:$BR$51,61,FALSE),"")</f>
        <v>มิติ 5</v>
      </c>
      <c r="K21" s="11">
        <f>IFERROR(VLOOKUP(A21,'02_ประเมิน50ร้าน'!$A$2:$BR$51,62,FALSE),"")</f>
        <v>0.6785714286</v>
      </c>
      <c r="L21" s="11">
        <f>IFERROR(VLOOKUP(A21,'02_ประเมิน50ร้าน'!$A$2:$BR$51,63,FALSE),"")</f>
        <v>0.6785714286</v>
      </c>
      <c r="M21" s="11">
        <f>IFERROR(VLOOKUP(A21,'02_ประเมิน50ร้าน'!$A$2:$BR$51,64,FALSE),"")</f>
        <v>0.4583333333</v>
      </c>
      <c r="N21" s="11">
        <f>IFERROR(VLOOKUP(A21,'02_ประเมิน50ร้าน'!$A$2:$BR$51,65,FALSE),"")</f>
        <v>0.5357142857</v>
      </c>
      <c r="O21" s="11">
        <f>IFERROR(VLOOKUP(A21,'02_ประเมิน50ร้าน'!$A$2:$BR$51,66,FALSE),"")</f>
        <v>0.3928571429</v>
      </c>
      <c r="P21" s="11">
        <f>IFERROR(VLOOKUP(A21,'02_ประเมิน50ร้าน'!$A$2:$BR$51,67,FALSE),"")</f>
        <v>0.6785714286</v>
      </c>
      <c r="Q21" s="11">
        <f>IFERROR(VLOOKUP(A21,'02_ประเมิน50ร้าน'!$A$2:$BR$51,68,FALSE),"")</f>
        <v>0.4</v>
      </c>
      <c r="R21" s="11">
        <f>IFERROR(VLOOKUP(A21,'02_ประเมิน50ร้าน'!$A$2:$BR$51,69,FALSE),"")</f>
        <v>0.625</v>
      </c>
      <c r="S21" s="8" t="str">
        <f t="shared" si="1"/>
        <v>ตรวจข้อคะแนน 0-1 และจัดทำแผน 7/30/90 วัน</v>
      </c>
      <c r="T21" s="8" t="str">
        <f>IFERROR(VLOOKUP(A21,'02_ประเมิน50ร้าน'!$A$2:$BR$51,71,FALSE),"")</f>
        <v/>
      </c>
    </row>
    <row r="22" ht="15.75" customHeight="1">
      <c r="A22" s="8" t="s">
        <v>224</v>
      </c>
      <c r="B22" s="8" t="str">
        <f>IFERROR(VLOOKUP(A22,'01_ข้อมูลร้าน'!$A$2:$C$51,2,FALSE),"")</f>
        <v>Recharge Cafa</v>
      </c>
      <c r="C22" s="8" t="str">
        <f>IFERROR(VLOOKUP(A22,'01_ข้อมูลร้าน'!$A$2:$C$51,3,FALSE),"")</f>
        <v/>
      </c>
      <c r="D22" s="11">
        <f>IFERROR(VLOOKUP(A22,'02_ประเมิน50ร้าน'!$A$2:$BR$51,55,FALSE),"")</f>
        <v>1</v>
      </c>
      <c r="E22" s="8">
        <f>IFERROR(VLOOKUP(A22,'02_ประเมิน50ร้าน'!$A$2:$BR$51,56,FALSE),"")</f>
        <v>87</v>
      </c>
      <c r="F22" s="11">
        <f>IFERROR(VLOOKUP(A22,'02_ประเมิน50ร้าน'!$A$2:$BR$51,57,FALSE),"")</f>
        <v>0.435</v>
      </c>
      <c r="G22" s="11">
        <f>IFERROR(VLOOKUP(A22,'02_ประเมิน50ร้าน'!$A$2:$BR$51,58,FALSE),"")</f>
        <v>0.4579464286</v>
      </c>
      <c r="H22" s="8">
        <f>IFERROR(VLOOKUP(A22,'02_ประเมิน50ร้าน'!$A$2:$BR$51,59,FALSE),"")</f>
        <v>16</v>
      </c>
      <c r="I22" s="8" t="str">
        <f>IFERROR(VLOOKUP(A22,'02_ประเมิน50ร้าน'!$A$2:$BR$51,60,FALSE),"")</f>
        <v>เร่งแก้ไข</v>
      </c>
      <c r="J22" s="8" t="str">
        <f>IFERROR(VLOOKUP(A22,'02_ประเมิน50ร้าน'!$A$2:$BR$51,61,FALSE),"")</f>
        <v>มิติ 7</v>
      </c>
      <c r="K22" s="11">
        <f>IFERROR(VLOOKUP(A22,'02_ประเมิน50ร้าน'!$A$2:$BR$51,62,FALSE),"")</f>
        <v>0.3571428571</v>
      </c>
      <c r="L22" s="11">
        <f>IFERROR(VLOOKUP(A22,'02_ประเมิน50ร้าน'!$A$2:$BR$51,63,FALSE),"")</f>
        <v>0.4642857143</v>
      </c>
      <c r="M22" s="11">
        <f>IFERROR(VLOOKUP(A22,'02_ประเมิน50ร้าน'!$A$2:$BR$51,64,FALSE),"")</f>
        <v>0.375</v>
      </c>
      <c r="N22" s="11">
        <f>IFERROR(VLOOKUP(A22,'02_ประเมิน50ร้าน'!$A$2:$BR$51,65,FALSE),"")</f>
        <v>0.4285714286</v>
      </c>
      <c r="O22" s="11">
        <f>IFERROR(VLOOKUP(A22,'02_ประเมิน50ร้าน'!$A$2:$BR$51,66,FALSE),"")</f>
        <v>0.5</v>
      </c>
      <c r="P22" s="11">
        <f>IFERROR(VLOOKUP(A22,'02_ประเมิน50ร้าน'!$A$2:$BR$51,67,FALSE),"")</f>
        <v>0.5714285714</v>
      </c>
      <c r="Q22" s="11">
        <f>IFERROR(VLOOKUP(A22,'02_ประเมิน50ร้าน'!$A$2:$BR$51,68,FALSE),"")</f>
        <v>0.2</v>
      </c>
      <c r="R22" s="11">
        <f>IFERROR(VLOOKUP(A22,'02_ประเมิน50ร้าน'!$A$2:$BR$51,69,FALSE),"")</f>
        <v>0.5625</v>
      </c>
      <c r="S22" s="8" t="str">
        <f t="shared" si="1"/>
        <v>ตรวจข้อคะแนน 0-1 และจัดทำแผน 7/30/90 วัน</v>
      </c>
      <c r="T22" s="8" t="str">
        <f>IFERROR(VLOOKUP(A22,'02_ประเมิน50ร้าน'!$A$2:$BR$51,71,FALSE),"")</f>
        <v/>
      </c>
    </row>
    <row r="23" ht="15.75" customHeight="1">
      <c r="A23" s="8" t="s">
        <v>229</v>
      </c>
      <c r="B23" s="8" t="str">
        <f>IFERROR(VLOOKUP(A23,'01_ข้อมูลร้าน'!$A$2:$C$51,2,FALSE),"")</f>
        <v>หมึกสดริมเล</v>
      </c>
      <c r="C23" s="8" t="str">
        <f>IFERROR(VLOOKUP(A23,'01_ข้อมูลร้าน'!$A$2:$C$51,3,FALSE),"")</f>
        <v/>
      </c>
      <c r="D23" s="11">
        <f>IFERROR(VLOOKUP(A23,'02_ประเมิน50ร้าน'!$A$2:$BR$51,55,FALSE),"")</f>
        <v>1</v>
      </c>
      <c r="E23" s="8">
        <f>IFERROR(VLOOKUP(A23,'02_ประเมิน50ร้าน'!$A$2:$BR$51,56,FALSE),"")</f>
        <v>182</v>
      </c>
      <c r="F23" s="11">
        <f>IFERROR(VLOOKUP(A23,'02_ประเมิน50ร้าน'!$A$2:$BR$51,57,FALSE),"")</f>
        <v>0.91</v>
      </c>
      <c r="G23" s="11">
        <f>IFERROR(VLOOKUP(A23,'02_ประเมิน50ร้าน'!$A$2:$BR$51,58,FALSE),"")</f>
        <v>0.925625</v>
      </c>
      <c r="H23" s="8">
        <f>IFERROR(VLOOKUP(A23,'02_ประเมิน50ร้าน'!$A$2:$BR$51,59,FALSE),"")</f>
        <v>2</v>
      </c>
      <c r="I23" s="8" t="str">
        <f>IFERROR(VLOOKUP(A23,'02_ประเมิน50ร้าน'!$A$2:$BR$51,60,FALSE),"")</f>
        <v>ดีมาก</v>
      </c>
      <c r="J23" s="8" t="str">
        <f>IFERROR(VLOOKUP(A23,'02_ประเมิน50ร้าน'!$A$2:$BR$51,61,FALSE),"")</f>
        <v>มิติ 7</v>
      </c>
      <c r="K23" s="11">
        <f>IFERROR(VLOOKUP(A23,'02_ประเมิน50ร้าน'!$A$2:$BR$51,62,FALSE),"")</f>
        <v>0.8928571429</v>
      </c>
      <c r="L23" s="11">
        <f>IFERROR(VLOOKUP(A23,'02_ประเมิน50ร้าน'!$A$2:$BR$51,63,FALSE),"")</f>
        <v>0.8214285714</v>
      </c>
      <c r="M23" s="11">
        <f>IFERROR(VLOOKUP(A23,'02_ประเมิน50ร้าน'!$A$2:$BR$51,64,FALSE),"")</f>
        <v>1</v>
      </c>
      <c r="N23" s="11">
        <f>IFERROR(VLOOKUP(A23,'02_ประเมิน50ร้าน'!$A$2:$BR$51,65,FALSE),"")</f>
        <v>1</v>
      </c>
      <c r="O23" s="11">
        <f>IFERROR(VLOOKUP(A23,'02_ประเมิน50ร้าน'!$A$2:$BR$51,66,FALSE),"")</f>
        <v>1</v>
      </c>
      <c r="P23" s="11">
        <f>IFERROR(VLOOKUP(A23,'02_ประเมิน50ร้าน'!$A$2:$BR$51,67,FALSE),"")</f>
        <v>0.9285714286</v>
      </c>
      <c r="Q23" s="11">
        <f>IFERROR(VLOOKUP(A23,'02_ประเมิน50ร้าน'!$A$2:$BR$51,68,FALSE),"")</f>
        <v>0.65</v>
      </c>
      <c r="R23" s="11">
        <f>IFERROR(VLOOKUP(A23,'02_ประเมิน50ร้าน'!$A$2:$BR$51,69,FALSE),"")</f>
        <v>0.9375</v>
      </c>
      <c r="S23" s="8" t="str">
        <f t="shared" si="1"/>
        <v>ตรวจข้อคะแนน 0-1 และจัดทำแผน 7/30/90 วัน</v>
      </c>
      <c r="T23" s="8" t="str">
        <f>IFERROR(VLOOKUP(A23,'02_ประเมิน50ร้าน'!$A$2:$BR$51,71,FALSE),"")</f>
        <v/>
      </c>
    </row>
    <row r="24" ht="15.75" customHeight="1">
      <c r="A24" s="8" t="s">
        <v>236</v>
      </c>
      <c r="B24" s="8" t="str">
        <f>IFERROR(VLOOKUP(A24,'01_ข้อมูลร้าน'!$A$2:$C$51,2,FALSE),"")</f>
        <v>บ้านแมะคาเฟ่</v>
      </c>
      <c r="C24" s="8" t="str">
        <f>IFERROR(VLOOKUP(A24,'01_ข้อมูลร้าน'!$A$2:$C$51,3,FALSE),"")</f>
        <v/>
      </c>
      <c r="D24" s="11">
        <f>IFERROR(VLOOKUP(A24,'02_ประเมิน50ร้าน'!$A$2:$BR$51,55,FALSE),"")</f>
        <v>1</v>
      </c>
      <c r="E24" s="8">
        <f>IFERROR(VLOOKUP(A24,'02_ประเมิน50ร้าน'!$A$2:$BR$51,56,FALSE),"")</f>
        <v>160</v>
      </c>
      <c r="F24" s="11">
        <f>IFERROR(VLOOKUP(A24,'02_ประเมิน50ร้าน'!$A$2:$BR$51,57,FALSE),"")</f>
        <v>0.8</v>
      </c>
      <c r="G24" s="11">
        <f>IFERROR(VLOOKUP(A24,'02_ประเมิน50ร้าน'!$A$2:$BR$51,58,FALSE),"")</f>
        <v>0.7957738095</v>
      </c>
      <c r="H24" s="8">
        <f>IFERROR(VLOOKUP(A24,'02_ประเมิน50ร้าน'!$A$2:$BR$51,59,FALSE),"")</f>
        <v>3</v>
      </c>
      <c r="I24" s="8" t="str">
        <f>IFERROR(VLOOKUP(A24,'02_ประเมิน50ร้าน'!$A$2:$BR$51,60,FALSE),"")</f>
        <v>ดี</v>
      </c>
      <c r="J24" s="8" t="str">
        <f>IFERROR(VLOOKUP(A24,'02_ประเมิน50ร้าน'!$A$2:$BR$51,61,FALSE),"")</f>
        <v>มิติ 2</v>
      </c>
      <c r="K24" s="11">
        <f>IFERROR(VLOOKUP(A24,'02_ประเมิน50ร้าน'!$A$2:$BR$51,62,FALSE),"")</f>
        <v>0.8571428571</v>
      </c>
      <c r="L24" s="11">
        <f>IFERROR(VLOOKUP(A24,'02_ประเมิน50ร้าน'!$A$2:$BR$51,63,FALSE),"")</f>
        <v>0.5357142857</v>
      </c>
      <c r="M24" s="11">
        <f>IFERROR(VLOOKUP(A24,'02_ประเมิน50ร้าน'!$A$2:$BR$51,64,FALSE),"")</f>
        <v>0.6666666667</v>
      </c>
      <c r="N24" s="11">
        <f>IFERROR(VLOOKUP(A24,'02_ประเมิน50ร้าน'!$A$2:$BR$51,65,FALSE),"")</f>
        <v>0.8571428571</v>
      </c>
      <c r="O24" s="11">
        <f>IFERROR(VLOOKUP(A24,'02_ประเมิน50ร้าน'!$A$2:$BR$51,66,FALSE),"")</f>
        <v>0.8571428571</v>
      </c>
      <c r="P24" s="11">
        <f>IFERROR(VLOOKUP(A24,'02_ประเมิน50ร้าน'!$A$2:$BR$51,67,FALSE),"")</f>
        <v>0.8571428571</v>
      </c>
      <c r="Q24" s="11">
        <f>IFERROR(VLOOKUP(A24,'02_ประเมิน50ร้าน'!$A$2:$BR$51,68,FALSE),"")</f>
        <v>0.95</v>
      </c>
      <c r="R24" s="11">
        <f>IFERROR(VLOOKUP(A24,'02_ประเมิน50ร้าน'!$A$2:$BR$51,69,FALSE),"")</f>
        <v>0.875</v>
      </c>
      <c r="S24" s="8" t="str">
        <f t="shared" si="1"/>
        <v>ตรวจข้อคะแนน 0-1 และจัดทำแผน 7/30/90 วัน</v>
      </c>
      <c r="T24" s="8" t="str">
        <f>IFERROR(VLOOKUP(A24,'02_ประเมิน50ร้าน'!$A$2:$BR$51,71,FALSE),"")</f>
        <v/>
      </c>
    </row>
    <row r="25" ht="15.75" customHeight="1">
      <c r="A25" s="8" t="s">
        <v>243</v>
      </c>
      <c r="B25" s="8" t="str">
        <f>IFERROR(VLOOKUP(A25,'01_ข้อมูลร้าน'!$A$2:$C$51,2,FALSE),"")</f>
        <v>ร้านทองม้วนคุณใบ้</v>
      </c>
      <c r="C25" s="8" t="str">
        <f>IFERROR(VLOOKUP(A25,'01_ข้อมูลร้าน'!$A$2:$C$51,3,FALSE),"")</f>
        <v/>
      </c>
      <c r="D25" s="11">
        <f>IFERROR(VLOOKUP(A25,'02_ประเมิน50ร้าน'!$A$2:$BR$51,55,FALSE),"")</f>
        <v>1</v>
      </c>
      <c r="E25" s="8">
        <f>IFERROR(VLOOKUP(A25,'02_ประเมิน50ร้าน'!$A$2:$BR$51,56,FALSE),"")</f>
        <v>142</v>
      </c>
      <c r="F25" s="11">
        <f>IFERROR(VLOOKUP(A25,'02_ประเมิน50ร้าน'!$A$2:$BR$51,57,FALSE),"")</f>
        <v>0.71</v>
      </c>
      <c r="G25" s="11">
        <f>IFERROR(VLOOKUP(A25,'02_ประเมิน50ร้าน'!$A$2:$BR$51,58,FALSE),"")</f>
        <v>0.7038392857</v>
      </c>
      <c r="H25" s="8">
        <f>IFERROR(VLOOKUP(A25,'02_ประเมิน50ร้าน'!$A$2:$BR$51,59,FALSE),"")</f>
        <v>2</v>
      </c>
      <c r="I25" s="8" t="str">
        <f>IFERROR(VLOOKUP(A25,'02_ประเมิน50ร้าน'!$A$2:$BR$51,60,FALSE),"")</f>
        <v>ดี</v>
      </c>
      <c r="J25" s="8" t="str">
        <f>IFERROR(VLOOKUP(A25,'02_ประเมิน50ร้าน'!$A$2:$BR$51,61,FALSE),"")</f>
        <v>มิติ 4</v>
      </c>
      <c r="K25" s="11">
        <f>IFERROR(VLOOKUP(A25,'02_ประเมิน50ร้าน'!$A$2:$BR$51,62,FALSE),"")</f>
        <v>0.75</v>
      </c>
      <c r="L25" s="11">
        <f>IFERROR(VLOOKUP(A25,'02_ประเมิน50ร้าน'!$A$2:$BR$51,63,FALSE),"")</f>
        <v>0.7857142857</v>
      </c>
      <c r="M25" s="11">
        <f>IFERROR(VLOOKUP(A25,'02_ประเมิน50ร้าน'!$A$2:$BR$51,64,FALSE),"")</f>
        <v>0.75</v>
      </c>
      <c r="N25" s="11">
        <f>IFERROR(VLOOKUP(A25,'02_ประเมิน50ร้าน'!$A$2:$BR$51,65,FALSE),"")</f>
        <v>0.5714285714</v>
      </c>
      <c r="O25" s="11">
        <f>IFERROR(VLOOKUP(A25,'02_ประเมิน50ร้าน'!$A$2:$BR$51,66,FALSE),"")</f>
        <v>0.7142857143</v>
      </c>
      <c r="P25" s="11">
        <f>IFERROR(VLOOKUP(A25,'02_ประเมิน50ร้าน'!$A$2:$BR$51,67,FALSE),"")</f>
        <v>0.6428571429</v>
      </c>
      <c r="Q25" s="11">
        <f>IFERROR(VLOOKUP(A25,'02_ประเมิน50ร้าน'!$A$2:$BR$51,68,FALSE),"")</f>
        <v>0.8</v>
      </c>
      <c r="R25" s="11">
        <f>IFERROR(VLOOKUP(A25,'02_ประเมิน50ร้าน'!$A$2:$BR$51,69,FALSE),"")</f>
        <v>0.6875</v>
      </c>
      <c r="S25" s="8" t="str">
        <f t="shared" si="1"/>
        <v>ตรวจข้อคะแนน 0-1 และจัดทำแผน 7/30/90 วัน</v>
      </c>
      <c r="T25" s="8" t="str">
        <f>IFERROR(VLOOKUP(A25,'02_ประเมิน50ร้าน'!$A$2:$BR$51,71,FALSE),"")</f>
        <v/>
      </c>
    </row>
    <row r="26" ht="15.75" customHeight="1">
      <c r="A26" s="8" t="s">
        <v>250</v>
      </c>
      <c r="B26" s="8" t="str">
        <f>IFERROR(VLOOKUP(A26,'01_ข้อมูลร้าน'!$A$2:$C$51,2,FALSE),"")</f>
        <v>ร้านไชโย</v>
      </c>
      <c r="C26" s="8" t="str">
        <f>IFERROR(VLOOKUP(A26,'01_ข้อมูลร้าน'!$A$2:$C$51,3,FALSE),"")</f>
        <v/>
      </c>
      <c r="D26" s="11">
        <f>IFERROR(VLOOKUP(A26,'02_ประเมิน50ร้าน'!$A$2:$BR$51,55,FALSE),"")</f>
        <v>0</v>
      </c>
      <c r="E26" s="8">
        <f>IFERROR(VLOOKUP(A26,'02_ประเมิน50ร้าน'!$A$2:$BR$51,56,FALSE),"")</f>
        <v>0</v>
      </c>
      <c r="F26" s="11">
        <f>IFERROR(VLOOKUP(A26,'02_ประเมิน50ร้าน'!$A$2:$BR$51,57,FALSE),"")</f>
        <v>0</v>
      </c>
      <c r="G26" s="11">
        <f>IFERROR(VLOOKUP(A26,'02_ประเมิน50ร้าน'!$A$2:$BR$51,58,FALSE),"")</f>
        <v>0</v>
      </c>
      <c r="H26" s="8">
        <f>IFERROR(VLOOKUP(A26,'02_ประเมิน50ร้าน'!$A$2:$BR$51,59,FALSE),"")</f>
        <v>0</v>
      </c>
      <c r="I26" s="8" t="str">
        <f>IFERROR(VLOOKUP(A26,'02_ประเมิน50ร้าน'!$A$2:$BR$51,60,FALSE),"")</f>
        <v>ยังไม่ประเมิน</v>
      </c>
      <c r="J26" s="8" t="str">
        <f>IFERROR(VLOOKUP(A26,'02_ประเมิน50ร้าน'!$A$2:$BR$51,61,FALSE),"")</f>
        <v>ยังไม่ประเมิน</v>
      </c>
      <c r="K26" s="11">
        <f>IFERROR(VLOOKUP(A26,'02_ประเมิน50ร้าน'!$A$2:$BR$51,62,FALSE),"")</f>
        <v>0</v>
      </c>
      <c r="L26" s="11">
        <f>IFERROR(VLOOKUP(A26,'02_ประเมิน50ร้าน'!$A$2:$BR$51,63,FALSE),"")</f>
        <v>0</v>
      </c>
      <c r="M26" s="11">
        <f>IFERROR(VLOOKUP(A26,'02_ประเมิน50ร้าน'!$A$2:$BR$51,64,FALSE),"")</f>
        <v>0</v>
      </c>
      <c r="N26" s="11">
        <f>IFERROR(VLOOKUP(A26,'02_ประเมิน50ร้าน'!$A$2:$BR$51,65,FALSE),"")</f>
        <v>0</v>
      </c>
      <c r="O26" s="11">
        <f>IFERROR(VLOOKUP(A26,'02_ประเมิน50ร้าน'!$A$2:$BR$51,66,FALSE),"")</f>
        <v>0</v>
      </c>
      <c r="P26" s="11">
        <f>IFERROR(VLOOKUP(A26,'02_ประเมิน50ร้าน'!$A$2:$BR$51,67,FALSE),"")</f>
        <v>0</v>
      </c>
      <c r="Q26" s="11">
        <f>IFERROR(VLOOKUP(A26,'02_ประเมิน50ร้าน'!$A$2:$BR$51,68,FALSE),"")</f>
        <v>0</v>
      </c>
      <c r="R26" s="11">
        <f>IFERROR(VLOOKUP(A26,'02_ประเมิน50ร้าน'!$A$2:$BR$51,69,FALSE),"")</f>
        <v>0</v>
      </c>
      <c r="S26" s="8" t="str">
        <f t="shared" si="1"/>
        <v>กรอกคะแนนประเมินก่อน</v>
      </c>
      <c r="T26" s="8" t="str">
        <f>IFERROR(VLOOKUP(A26,'02_ประเมิน50ร้าน'!$A$2:$BR$51,71,FALSE),"")</f>
        <v/>
      </c>
    </row>
    <row r="27" ht="15.75" customHeight="1">
      <c r="A27" s="8" t="s">
        <v>252</v>
      </c>
      <c r="B27" s="8" t="str">
        <f>IFERROR(VLOOKUP(A27,'01_ข้อมูลร้าน'!$A$2:$C$51,2,FALSE),"")</f>
        <v>ก๋วยเตี๋ยวปากหม้อ เกวียนนิยม </v>
      </c>
      <c r="C27" s="8" t="str">
        <f>IFERROR(VLOOKUP(A27,'01_ข้อมูลร้าน'!$A$2:$C$51,3,FALSE),"")</f>
        <v/>
      </c>
      <c r="D27" s="11">
        <f>IFERROR(VLOOKUP(A27,'02_ประเมิน50ร้าน'!$A$2:$BR$51,55,FALSE),"")</f>
        <v>1</v>
      </c>
      <c r="E27" s="8">
        <f>IFERROR(VLOOKUP(A27,'02_ประเมิน50ร้าน'!$A$2:$BR$51,56,FALSE),"")</f>
        <v>158</v>
      </c>
      <c r="F27" s="11">
        <f>IFERROR(VLOOKUP(A27,'02_ประเมิน50ร้าน'!$A$2:$BR$51,57,FALSE),"")</f>
        <v>0.79</v>
      </c>
      <c r="G27" s="11">
        <f>IFERROR(VLOOKUP(A27,'02_ประเมิน50ร้าน'!$A$2:$BR$51,58,FALSE),"")</f>
        <v>0.7732142857</v>
      </c>
      <c r="H27" s="8">
        <f>IFERROR(VLOOKUP(A27,'02_ประเมิน50ร้าน'!$A$2:$BR$51,59,FALSE),"")</f>
        <v>7</v>
      </c>
      <c r="I27" s="8" t="str">
        <f>IFERROR(VLOOKUP(A27,'02_ประเมิน50ร้าน'!$A$2:$BR$51,60,FALSE),"")</f>
        <v>ดี</v>
      </c>
      <c r="J27" s="8" t="str">
        <f>IFERROR(VLOOKUP(A27,'02_ประเมิน50ร้าน'!$A$2:$BR$51,61,FALSE),"")</f>
        <v>มิติ 6</v>
      </c>
      <c r="K27" s="11">
        <f>IFERROR(VLOOKUP(A27,'02_ประเมิน50ร้าน'!$A$2:$BR$51,62,FALSE),"")</f>
        <v>0.7857142857</v>
      </c>
      <c r="L27" s="11">
        <f>IFERROR(VLOOKUP(A27,'02_ประเมิน50ร้าน'!$A$2:$BR$51,63,FALSE),"")</f>
        <v>0.9285714286</v>
      </c>
      <c r="M27" s="11">
        <f>IFERROR(VLOOKUP(A27,'02_ประเมิน50ร้าน'!$A$2:$BR$51,64,FALSE),"")</f>
        <v>0.875</v>
      </c>
      <c r="N27" s="11">
        <f>IFERROR(VLOOKUP(A27,'02_ประเมิน50ร้าน'!$A$2:$BR$51,65,FALSE),"")</f>
        <v>0.8928571429</v>
      </c>
      <c r="O27" s="11">
        <f>IFERROR(VLOOKUP(A27,'02_ประเมิน50ร้าน'!$A$2:$BR$51,66,FALSE),"")</f>
        <v>0.8214285714</v>
      </c>
      <c r="P27" s="11">
        <f>IFERROR(VLOOKUP(A27,'02_ประเมิน50ร้าน'!$A$2:$BR$51,67,FALSE),"")</f>
        <v>0.3571428571</v>
      </c>
      <c r="Q27" s="11">
        <f>IFERROR(VLOOKUP(A27,'02_ประเมิน50ร้าน'!$A$2:$BR$51,68,FALSE),"")</f>
        <v>0.75</v>
      </c>
      <c r="R27" s="11">
        <f>IFERROR(VLOOKUP(A27,'02_ประเมิน50ร้าน'!$A$2:$BR$51,69,FALSE),"")</f>
        <v>1</v>
      </c>
      <c r="S27" s="8" t="str">
        <f t="shared" si="1"/>
        <v>ตรวจข้อคะแนน 0-1 และจัดทำแผน 7/30/90 วัน</v>
      </c>
      <c r="T27" s="8" t="str">
        <f>IFERROR(VLOOKUP(A27,'02_ประเมิน50ร้าน'!$A$2:$BR$51,71,FALSE),"")</f>
        <v/>
      </c>
    </row>
    <row r="28" ht="15.75" customHeight="1">
      <c r="A28" s="8" t="s">
        <v>254</v>
      </c>
      <c r="B28" s="8" t="str">
        <f>IFERROR(VLOOKUP(A28,'01_ข้อมูลร้าน'!$A$2:$C$51,2,FALSE),"")</f>
        <v>Chatrium Golf Resort Soidao</v>
      </c>
      <c r="C28" s="8" t="str">
        <f>IFERROR(VLOOKUP(A28,'01_ข้อมูลร้าน'!$A$2:$C$51,3,FALSE),"")</f>
        <v/>
      </c>
      <c r="D28" s="11">
        <f>IFERROR(VLOOKUP(A28,'02_ประเมิน50ร้าน'!$A$2:$BR$51,55,FALSE),"")</f>
        <v>1</v>
      </c>
      <c r="E28" s="8">
        <f>IFERROR(VLOOKUP(A28,'02_ประเมิน50ร้าน'!$A$2:$BR$51,56,FALSE),"")</f>
        <v>160</v>
      </c>
      <c r="F28" s="11">
        <f>IFERROR(VLOOKUP(A28,'02_ประเมิน50ร้าน'!$A$2:$BR$51,57,FALSE),"")</f>
        <v>0.8</v>
      </c>
      <c r="G28" s="11">
        <f>IFERROR(VLOOKUP(A28,'02_ประเมิน50ร้าน'!$A$2:$BR$51,58,FALSE),"")</f>
        <v>0.7947321429</v>
      </c>
      <c r="H28" s="8">
        <f>IFERROR(VLOOKUP(A28,'02_ประเมิน50ร้าน'!$A$2:$BR$51,59,FALSE),"")</f>
        <v>1</v>
      </c>
      <c r="I28" s="8" t="str">
        <f>IFERROR(VLOOKUP(A28,'02_ประเมิน50ร้าน'!$A$2:$BR$51,60,FALSE),"")</f>
        <v>ดี</v>
      </c>
      <c r="J28" s="8" t="str">
        <f>IFERROR(VLOOKUP(A28,'02_ประเมิน50ร้าน'!$A$2:$BR$51,61,FALSE),"")</f>
        <v>มิติ 3</v>
      </c>
      <c r="K28" s="11">
        <f>IFERROR(VLOOKUP(A28,'02_ประเมิน50ร้าน'!$A$2:$BR$51,62,FALSE),"")</f>
        <v>0.8571428571</v>
      </c>
      <c r="L28" s="11">
        <f>IFERROR(VLOOKUP(A28,'02_ประเมิน50ร้าน'!$A$2:$BR$51,63,FALSE),"")</f>
        <v>0.8928571429</v>
      </c>
      <c r="M28" s="11">
        <f>IFERROR(VLOOKUP(A28,'02_ประเมิน50ร้าน'!$A$2:$BR$51,64,FALSE),"")</f>
        <v>0.625</v>
      </c>
      <c r="N28" s="11">
        <f>IFERROR(VLOOKUP(A28,'02_ประเมิน50ร้าน'!$A$2:$BR$51,65,FALSE),"")</f>
        <v>0.6428571429</v>
      </c>
      <c r="O28" s="11">
        <f>IFERROR(VLOOKUP(A28,'02_ประเมิน50ร้าน'!$A$2:$BR$51,66,FALSE),"")</f>
        <v>0.7857142857</v>
      </c>
      <c r="P28" s="11">
        <f>IFERROR(VLOOKUP(A28,'02_ประเมิน50ร้าน'!$A$2:$BR$51,67,FALSE),"")</f>
        <v>0.8214285714</v>
      </c>
      <c r="Q28" s="11">
        <f>IFERROR(VLOOKUP(A28,'02_ประเมิน50ร้าน'!$A$2:$BR$51,68,FALSE),"")</f>
        <v>1</v>
      </c>
      <c r="R28" s="11">
        <f>IFERROR(VLOOKUP(A28,'02_ประเมิน50ร้าน'!$A$2:$BR$51,69,FALSE),"")</f>
        <v>0.8125</v>
      </c>
      <c r="S28" s="8" t="str">
        <f t="shared" si="1"/>
        <v>ตรวจข้อคะแนน 0-1 และจัดทำแผน 7/30/90 วัน</v>
      </c>
      <c r="T28" s="8" t="str">
        <f>IFERROR(VLOOKUP(A28,'02_ประเมิน50ร้าน'!$A$2:$BR$51,71,FALSE),"")</f>
        <v/>
      </c>
    </row>
    <row r="29" ht="15.75" customHeight="1">
      <c r="A29" s="8" t="s">
        <v>256</v>
      </c>
      <c r="B29" s="8" t="str">
        <f>IFERROR(VLOOKUP(A29,'01_ข้อมูลร้าน'!$A$2:$C$51,2,FALSE),"")</f>
        <v>มาเว้า MA WAO</v>
      </c>
      <c r="C29" s="8" t="str">
        <f>IFERROR(VLOOKUP(A29,'01_ข้อมูลร้าน'!$A$2:$C$51,3,FALSE),"")</f>
        <v/>
      </c>
      <c r="D29" s="11">
        <f>IFERROR(VLOOKUP(A29,'02_ประเมิน50ร้าน'!$A$2:$BR$51,55,FALSE),"")</f>
        <v>1</v>
      </c>
      <c r="E29" s="8">
        <f>IFERROR(VLOOKUP(A29,'02_ประเมิน50ร้าน'!$A$2:$BR$51,56,FALSE),"")</f>
        <v>0</v>
      </c>
      <c r="F29" s="11">
        <f>IFERROR(VLOOKUP(A29,'02_ประเมิน50ร้าน'!$A$2:$BR$51,57,FALSE),"")</f>
        <v>0</v>
      </c>
      <c r="G29" s="11">
        <f>IFERROR(VLOOKUP(A29,'02_ประเมิน50ร้าน'!$A$2:$BR$51,58,FALSE),"")</f>
        <v>0</v>
      </c>
      <c r="H29" s="8">
        <f>IFERROR(VLOOKUP(A29,'02_ประเมิน50ร้าน'!$A$2:$BR$51,59,FALSE),"")</f>
        <v>50</v>
      </c>
      <c r="I29" s="8" t="str">
        <f>IFERROR(VLOOKUP(A29,'02_ประเมิน50ร้าน'!$A$2:$BR$51,60,FALSE),"")</f>
        <v>เร่งแก้ไข</v>
      </c>
      <c r="J29" s="8" t="str">
        <f>IFERROR(VLOOKUP(A29,'02_ประเมิน50ร้าน'!$A$2:$BR$51,61,FALSE),"")</f>
        <v>มิติ 1</v>
      </c>
      <c r="K29" s="11">
        <f>IFERROR(VLOOKUP(A29,'02_ประเมิน50ร้าน'!$A$2:$BR$51,62,FALSE),"")</f>
        <v>0</v>
      </c>
      <c r="L29" s="11">
        <f>IFERROR(VLOOKUP(A29,'02_ประเมิน50ร้าน'!$A$2:$BR$51,63,FALSE),"")</f>
        <v>0</v>
      </c>
      <c r="M29" s="11">
        <f>IFERROR(VLOOKUP(A29,'02_ประเมิน50ร้าน'!$A$2:$BR$51,64,FALSE),"")</f>
        <v>0</v>
      </c>
      <c r="N29" s="11">
        <f>IFERROR(VLOOKUP(A29,'02_ประเมิน50ร้าน'!$A$2:$BR$51,65,FALSE),"")</f>
        <v>0</v>
      </c>
      <c r="O29" s="11">
        <f>IFERROR(VLOOKUP(A29,'02_ประเมิน50ร้าน'!$A$2:$BR$51,66,FALSE),"")</f>
        <v>0</v>
      </c>
      <c r="P29" s="11">
        <f>IFERROR(VLOOKUP(A29,'02_ประเมิน50ร้าน'!$A$2:$BR$51,67,FALSE),"")</f>
        <v>0</v>
      </c>
      <c r="Q29" s="11">
        <f>IFERROR(VLOOKUP(A29,'02_ประเมิน50ร้าน'!$A$2:$BR$51,68,FALSE),"")</f>
        <v>0</v>
      </c>
      <c r="R29" s="11">
        <f>IFERROR(VLOOKUP(A29,'02_ประเมิน50ร้าน'!$A$2:$BR$51,69,FALSE),"")</f>
        <v>0</v>
      </c>
      <c r="S29" s="8" t="str">
        <f t="shared" si="1"/>
        <v>ตรวจข้อคะแนน 0-1 และจัดทำแผน 7/30/90 วัน</v>
      </c>
      <c r="T29" s="8" t="str">
        <f>IFERROR(VLOOKUP(A29,'02_ประเมิน50ร้าน'!$A$2:$BR$51,71,FALSE),"")</f>
        <v/>
      </c>
    </row>
    <row r="30" ht="15.75" customHeight="1">
      <c r="A30" s="8" t="s">
        <v>258</v>
      </c>
      <c r="B30" s="8" t="str">
        <f>IFERROR(VLOOKUP(A30,'01_ข้อมูลร้าน'!$A$2:$C$51,2,FALSE),"")</f>
        <v>ร้านต้นสลัด</v>
      </c>
      <c r="C30" s="8" t="str">
        <f>IFERROR(VLOOKUP(A30,'01_ข้อมูลร้าน'!$A$2:$C$51,3,FALSE),"")</f>
        <v/>
      </c>
      <c r="D30" s="11">
        <f>IFERROR(VLOOKUP(A30,'02_ประเมิน50ร้าน'!$A$2:$BR$51,55,FALSE),"")</f>
        <v>1</v>
      </c>
      <c r="E30" s="8">
        <f>IFERROR(VLOOKUP(A30,'02_ประเมิน50ร้าน'!$A$2:$BR$51,56,FALSE),"")</f>
        <v>126</v>
      </c>
      <c r="F30" s="11">
        <f>IFERROR(VLOOKUP(A30,'02_ประเมิน50ร้าน'!$A$2:$BR$51,57,FALSE),"")</f>
        <v>0.63</v>
      </c>
      <c r="G30" s="11">
        <f>IFERROR(VLOOKUP(A30,'02_ประเมิน50ร้าน'!$A$2:$BR$51,58,FALSE),"")</f>
        <v>0.6434821429</v>
      </c>
      <c r="H30" s="8">
        <f>IFERROR(VLOOKUP(A30,'02_ประเมิน50ร้าน'!$A$2:$BR$51,59,FALSE),"")</f>
        <v>4</v>
      </c>
      <c r="I30" s="8" t="str">
        <f>IFERROR(VLOOKUP(A30,'02_ประเมิน50ร้าน'!$A$2:$BR$51,60,FALSE),"")</f>
        <v>ต้องพัฒนา</v>
      </c>
      <c r="J30" s="8" t="str">
        <f>IFERROR(VLOOKUP(A30,'02_ประเมิน50ร้าน'!$A$2:$BR$51,61,FALSE),"")</f>
        <v>มิติ 3</v>
      </c>
      <c r="K30" s="11">
        <f>IFERROR(VLOOKUP(A30,'02_ประเมิน50ร้าน'!$A$2:$BR$51,62,FALSE),"")</f>
        <v>0.5714285714</v>
      </c>
      <c r="L30" s="11">
        <f>IFERROR(VLOOKUP(A30,'02_ประเมิน50ร้าน'!$A$2:$BR$51,63,FALSE),"")</f>
        <v>0.7142857143</v>
      </c>
      <c r="M30" s="11">
        <f>IFERROR(VLOOKUP(A30,'02_ประเมิน50ร้าน'!$A$2:$BR$51,64,FALSE),"")</f>
        <v>0.5</v>
      </c>
      <c r="N30" s="11">
        <f>IFERROR(VLOOKUP(A30,'02_ประเมิน50ร้าน'!$A$2:$BR$51,65,FALSE),"")</f>
        <v>0.6071428571</v>
      </c>
      <c r="O30" s="11">
        <f>IFERROR(VLOOKUP(A30,'02_ประเมิน50ร้าน'!$A$2:$BR$51,66,FALSE),"")</f>
        <v>0.8214285714</v>
      </c>
      <c r="P30" s="11">
        <f>IFERROR(VLOOKUP(A30,'02_ประเมิน50ร้าน'!$A$2:$BR$51,67,FALSE),"")</f>
        <v>0.5357142857</v>
      </c>
      <c r="Q30" s="11">
        <f>IFERROR(VLOOKUP(A30,'02_ประเมิน50ร้าน'!$A$2:$BR$51,68,FALSE),"")</f>
        <v>0.6</v>
      </c>
      <c r="R30" s="11">
        <f>IFERROR(VLOOKUP(A30,'02_ประเมิน50ร้าน'!$A$2:$BR$51,69,FALSE),"")</f>
        <v>0.6875</v>
      </c>
      <c r="S30" s="8" t="str">
        <f t="shared" si="1"/>
        <v>ตรวจข้อคะแนน 0-1 และจัดทำแผน 7/30/90 วัน</v>
      </c>
      <c r="T30" s="8" t="str">
        <f>IFERROR(VLOOKUP(A30,'02_ประเมิน50ร้าน'!$A$2:$BR$51,71,FALSE),"")</f>
        <v/>
      </c>
    </row>
    <row r="31" ht="15.75" customHeight="1">
      <c r="A31" s="8" t="s">
        <v>260</v>
      </c>
      <c r="B31" s="8" t="str">
        <f>IFERROR(VLOOKUP(A31,'01_ข้อมูลร้าน'!$A$2:$C$51,2,FALSE),"")</f>
        <v>The Sunset Deck</v>
      </c>
      <c r="C31" s="8" t="str">
        <f>IFERROR(VLOOKUP(A31,'01_ข้อมูลร้าน'!$A$2:$C$51,3,FALSE),"")</f>
        <v/>
      </c>
      <c r="D31" s="11">
        <f>IFERROR(VLOOKUP(A31,'02_ประเมิน50ร้าน'!$A$2:$BR$51,55,FALSE),"")</f>
        <v>1</v>
      </c>
      <c r="E31" s="8">
        <f>IFERROR(VLOOKUP(A31,'02_ประเมิน50ร้าน'!$A$2:$BR$51,56,FALSE),"")</f>
        <v>105</v>
      </c>
      <c r="F31" s="11">
        <f>IFERROR(VLOOKUP(A31,'02_ประเมิน50ร้าน'!$A$2:$BR$51,57,FALSE),"")</f>
        <v>0.525</v>
      </c>
      <c r="G31" s="11">
        <f>IFERROR(VLOOKUP(A31,'02_ประเมิน50ร้าน'!$A$2:$BR$51,58,FALSE),"")</f>
        <v>0.5185714286</v>
      </c>
      <c r="H31" s="8">
        <f>IFERROR(VLOOKUP(A31,'02_ประเมิน50ร้าน'!$A$2:$BR$51,59,FALSE),"")</f>
        <v>20</v>
      </c>
      <c r="I31" s="8" t="str">
        <f>IFERROR(VLOOKUP(A31,'02_ประเมิน50ร้าน'!$A$2:$BR$51,60,FALSE),"")</f>
        <v>ต้องพัฒนา</v>
      </c>
      <c r="J31" s="8" t="str">
        <f>IFERROR(VLOOKUP(A31,'02_ประเมิน50ร้าน'!$A$2:$BR$51,61,FALSE),"")</f>
        <v>มิติ 6</v>
      </c>
      <c r="K31" s="11">
        <f>IFERROR(VLOOKUP(A31,'02_ประเมิน50ร้าน'!$A$2:$BR$51,62,FALSE),"")</f>
        <v>0.3928571429</v>
      </c>
      <c r="L31" s="11">
        <f>IFERROR(VLOOKUP(A31,'02_ประเมิน50ร้าน'!$A$2:$BR$51,63,FALSE),"")</f>
        <v>0.7142857143</v>
      </c>
      <c r="M31" s="11">
        <f>IFERROR(VLOOKUP(A31,'02_ประเมิน50ร้าน'!$A$2:$BR$51,64,FALSE),"")</f>
        <v>0.625</v>
      </c>
      <c r="N31" s="11">
        <f>IFERROR(VLOOKUP(A31,'02_ประเมิน50ร้าน'!$A$2:$BR$51,65,FALSE),"")</f>
        <v>0.2857142857</v>
      </c>
      <c r="O31" s="11">
        <f>IFERROR(VLOOKUP(A31,'02_ประเมิน50ร้าน'!$A$2:$BR$51,66,FALSE),"")</f>
        <v>0.6428571429</v>
      </c>
      <c r="P31" s="11">
        <f>IFERROR(VLOOKUP(A31,'02_ประเมิน50ร้าน'!$A$2:$BR$51,67,FALSE),"")</f>
        <v>0.2142857143</v>
      </c>
      <c r="Q31" s="11">
        <f>IFERROR(VLOOKUP(A31,'02_ประเมิน50ร้าน'!$A$2:$BR$51,68,FALSE),"")</f>
        <v>0.55</v>
      </c>
      <c r="R31" s="11">
        <f>IFERROR(VLOOKUP(A31,'02_ประเมิน50ร้าน'!$A$2:$BR$51,69,FALSE),"")</f>
        <v>1</v>
      </c>
      <c r="S31" s="8" t="str">
        <f t="shared" si="1"/>
        <v>ตรวจข้อคะแนน 0-1 และจัดทำแผน 7/30/90 วัน</v>
      </c>
      <c r="T31" s="8" t="str">
        <f>IFERROR(VLOOKUP(A31,'02_ประเมิน50ร้าน'!$A$2:$BR$51,71,FALSE),"")</f>
        <v/>
      </c>
    </row>
    <row r="32" ht="15.75" customHeight="1">
      <c r="A32" s="8" t="s">
        <v>262</v>
      </c>
      <c r="B32" s="8" t="str">
        <f>IFERROR(VLOOKUP(A32,'01_ข้อมูลร้าน'!$A$2:$C$51,2,FALSE),"")</f>
        <v>ร้านครัวรวมรส ๒๕๖๔ จังหวัดตราด</v>
      </c>
      <c r="C32" s="8" t="str">
        <f>IFERROR(VLOOKUP(A32,'01_ข้อมูลร้าน'!$A$2:$C$51,3,FALSE),"")</f>
        <v/>
      </c>
      <c r="D32" s="11">
        <f>IFERROR(VLOOKUP(A32,'02_ประเมิน50ร้าน'!$A$2:$BR$51,55,FALSE),"")</f>
        <v>1</v>
      </c>
      <c r="E32" s="8">
        <f>IFERROR(VLOOKUP(A32,'02_ประเมิน50ร้าน'!$A$2:$BR$51,56,FALSE),"")</f>
        <v>131</v>
      </c>
      <c r="F32" s="11">
        <f>IFERROR(VLOOKUP(A32,'02_ประเมิน50ร้าน'!$A$2:$BR$51,57,FALSE),"")</f>
        <v>0.655</v>
      </c>
      <c r="G32" s="11">
        <f>IFERROR(VLOOKUP(A32,'02_ประเมิน50ร้าน'!$A$2:$BR$51,58,FALSE),"")</f>
        <v>0.6551785714</v>
      </c>
      <c r="H32" s="8">
        <f>IFERROR(VLOOKUP(A32,'02_ประเมิน50ร้าน'!$A$2:$BR$51,59,FALSE),"")</f>
        <v>6</v>
      </c>
      <c r="I32" s="8" t="str">
        <f>IFERROR(VLOOKUP(A32,'02_ประเมิน50ร้าน'!$A$2:$BR$51,60,FALSE),"")</f>
        <v>ดี</v>
      </c>
      <c r="J32" s="8" t="str">
        <f>IFERROR(VLOOKUP(A32,'02_ประเมิน50ร้าน'!$A$2:$BR$51,61,FALSE),"")</f>
        <v>มิติ 3</v>
      </c>
      <c r="K32" s="11">
        <f>IFERROR(VLOOKUP(A32,'02_ประเมิน50ร้าน'!$A$2:$BR$51,62,FALSE),"")</f>
        <v>0.7142857143</v>
      </c>
      <c r="L32" s="11">
        <f>IFERROR(VLOOKUP(A32,'02_ประเมิน50ร้าน'!$A$2:$BR$51,63,FALSE),"")</f>
        <v>0.75</v>
      </c>
      <c r="M32" s="11">
        <f>IFERROR(VLOOKUP(A32,'02_ประเมิน50ร้าน'!$A$2:$BR$51,64,FALSE),"")</f>
        <v>0.5</v>
      </c>
      <c r="N32" s="11">
        <f>IFERROR(VLOOKUP(A32,'02_ประเมิน50ร้าน'!$A$2:$BR$51,65,FALSE),"")</f>
        <v>0.7142857143</v>
      </c>
      <c r="O32" s="11">
        <f>IFERROR(VLOOKUP(A32,'02_ประเมิน50ร้าน'!$A$2:$BR$51,66,FALSE),"")</f>
        <v>0.6428571429</v>
      </c>
      <c r="P32" s="11">
        <f>IFERROR(VLOOKUP(A32,'02_ประเมิน50ร้าน'!$A$2:$BR$51,67,FALSE),"")</f>
        <v>0.6071428571</v>
      </c>
      <c r="Q32" s="11">
        <f>IFERROR(VLOOKUP(A32,'02_ประเมิน50ร้าน'!$A$2:$BR$51,68,FALSE),"")</f>
        <v>0.65</v>
      </c>
      <c r="R32" s="11">
        <f>IFERROR(VLOOKUP(A32,'02_ประเมิน50ร้าน'!$A$2:$BR$51,69,FALSE),"")</f>
        <v>0.625</v>
      </c>
      <c r="S32" s="8" t="str">
        <f t="shared" si="1"/>
        <v>ตรวจข้อคะแนน 0-1 และจัดทำแผน 7/30/90 วัน</v>
      </c>
      <c r="T32" s="8" t="str">
        <f>IFERROR(VLOOKUP(A32,'02_ประเมิน50ร้าน'!$A$2:$BR$51,71,FALSE),"")</f>
        <v/>
      </c>
    </row>
    <row r="33" ht="15.75" customHeight="1">
      <c r="A33" s="8" t="s">
        <v>265</v>
      </c>
      <c r="B33" s="8" t="str">
        <f>IFERROR(VLOOKUP(A33,'01_ข้อมูลร้าน'!$A$2:$C$51,2,FALSE),"")</f>
        <v>ร้านคดข้าว</v>
      </c>
      <c r="C33" s="8" t="str">
        <f>IFERROR(VLOOKUP(A33,'01_ข้อมูลร้าน'!$A$2:$C$51,3,FALSE),"")</f>
        <v/>
      </c>
      <c r="D33" s="11">
        <f>IFERROR(VLOOKUP(A33,'02_ประเมิน50ร้าน'!$A$2:$BR$51,55,FALSE),"")</f>
        <v>1</v>
      </c>
      <c r="E33" s="8">
        <f>IFERROR(VLOOKUP(A33,'02_ประเมิน50ร้าน'!$A$2:$BR$51,56,FALSE),"")</f>
        <v>160</v>
      </c>
      <c r="F33" s="11">
        <f>IFERROR(VLOOKUP(A33,'02_ประเมิน50ร้าน'!$A$2:$BR$51,57,FALSE),"")</f>
        <v>0.8</v>
      </c>
      <c r="G33" s="11">
        <f>IFERROR(VLOOKUP(A33,'02_ประเมิน50ร้าน'!$A$2:$BR$51,58,FALSE),"")</f>
        <v>0.8050595238</v>
      </c>
      <c r="H33" s="8">
        <f>IFERROR(VLOOKUP(A33,'02_ประเมิน50ร้าน'!$A$2:$BR$51,59,FALSE),"")</f>
        <v>1</v>
      </c>
      <c r="I33" s="8" t="str">
        <f>IFERROR(VLOOKUP(A33,'02_ประเมิน50ร้าน'!$A$2:$BR$51,60,FALSE),"")</f>
        <v>ดีมาก</v>
      </c>
      <c r="J33" s="8" t="str">
        <f>IFERROR(VLOOKUP(A33,'02_ประเมิน50ร้าน'!$A$2:$BR$51,61,FALSE),"")</f>
        <v>มิติ 7</v>
      </c>
      <c r="K33" s="11">
        <f>IFERROR(VLOOKUP(A33,'02_ประเมิน50ร้าน'!$A$2:$BR$51,62,FALSE),"")</f>
        <v>0.7857142857</v>
      </c>
      <c r="L33" s="11">
        <f>IFERROR(VLOOKUP(A33,'02_ประเมิน50ร้าน'!$A$2:$BR$51,63,FALSE),"")</f>
        <v>0.8571428571</v>
      </c>
      <c r="M33" s="11">
        <f>IFERROR(VLOOKUP(A33,'02_ประเมิน50ร้าน'!$A$2:$BR$51,64,FALSE),"")</f>
        <v>0.9166666667</v>
      </c>
      <c r="N33" s="11">
        <f>IFERROR(VLOOKUP(A33,'02_ประเมิน50ร้าน'!$A$2:$BR$51,65,FALSE),"")</f>
        <v>0.8928571429</v>
      </c>
      <c r="O33" s="11">
        <f>IFERROR(VLOOKUP(A33,'02_ประเมิน50ร้าน'!$A$2:$BR$51,66,FALSE),"")</f>
        <v>0.7857142857</v>
      </c>
      <c r="P33" s="11">
        <f>IFERROR(VLOOKUP(A33,'02_ประเมิน50ร้าน'!$A$2:$BR$51,67,FALSE),"")</f>
        <v>0.7142857143</v>
      </c>
      <c r="Q33" s="11">
        <f>IFERROR(VLOOKUP(A33,'02_ประเมิน50ร้าน'!$A$2:$BR$51,68,FALSE),"")</f>
        <v>0.55</v>
      </c>
      <c r="R33" s="11">
        <f>IFERROR(VLOOKUP(A33,'02_ประเมิน50ร้าน'!$A$2:$BR$51,69,FALSE),"")</f>
        <v>0.875</v>
      </c>
      <c r="S33" s="8" t="str">
        <f t="shared" si="1"/>
        <v>ตรวจข้อคะแนน 0-1 และจัดทำแผน 7/30/90 วัน</v>
      </c>
      <c r="T33" s="8" t="str">
        <f>IFERROR(VLOOKUP(A33,'02_ประเมิน50ร้าน'!$A$2:$BR$51,71,FALSE),"")</f>
        <v/>
      </c>
    </row>
    <row r="34" ht="15.75" customHeight="1">
      <c r="A34" s="8" t="s">
        <v>270</v>
      </c>
      <c r="B34" s="8" t="str">
        <f>IFERROR(VLOOKUP(A34,'01_ข้อมูลร้าน'!$A$2:$C$51,2,FALSE),"")</f>
        <v>GRID GARDEN</v>
      </c>
      <c r="C34" s="8" t="str">
        <f>IFERROR(VLOOKUP(A34,'01_ข้อมูลร้าน'!$A$2:$C$51,3,FALSE),"")</f>
        <v/>
      </c>
      <c r="D34" s="11">
        <f>IFERROR(VLOOKUP(A34,'02_ประเมิน50ร้าน'!$A$2:$BR$51,55,FALSE),"")</f>
        <v>1</v>
      </c>
      <c r="E34" s="8">
        <f>IFERROR(VLOOKUP(A34,'02_ประเมิน50ร้าน'!$A$2:$BR$51,56,FALSE),"")</f>
        <v>150</v>
      </c>
      <c r="F34" s="11">
        <f>IFERROR(VLOOKUP(A34,'02_ประเมิน50ร้าน'!$A$2:$BR$51,57,FALSE),"")</f>
        <v>0.75</v>
      </c>
      <c r="G34" s="11">
        <f>IFERROR(VLOOKUP(A34,'02_ประเมิน50ร้าน'!$A$2:$BR$51,58,FALSE),"")</f>
        <v>0.7414583333</v>
      </c>
      <c r="H34" s="8">
        <f>IFERROR(VLOOKUP(A34,'02_ประเมิน50ร้าน'!$A$2:$BR$51,59,FALSE),"")</f>
        <v>0</v>
      </c>
      <c r="I34" s="8" t="str">
        <f>IFERROR(VLOOKUP(A34,'02_ประเมิน50ร้าน'!$A$2:$BR$51,60,FALSE),"")</f>
        <v>ดี</v>
      </c>
      <c r="J34" s="8" t="str">
        <f>IFERROR(VLOOKUP(A34,'02_ประเมิน50ร้าน'!$A$2:$BR$51,61,FALSE),"")</f>
        <v>ยังไม่ประเมิน</v>
      </c>
      <c r="K34" s="11">
        <f>IFERROR(VLOOKUP(A34,'02_ประเมิน50ร้าน'!$A$2:$BR$51,62,FALSE),"")</f>
        <v>0.6785714286</v>
      </c>
      <c r="L34" s="11">
        <f>IFERROR(VLOOKUP(A34,'02_ประเมิน50ร้าน'!$A$2:$BR$51,63,FALSE),"")</f>
        <v>0.8571428571</v>
      </c>
      <c r="M34" s="11">
        <f>IFERROR(VLOOKUP(A34,'02_ประเมิน50ร้าน'!$A$2:$BR$51,64,FALSE),"")</f>
        <v>0.8333333333</v>
      </c>
      <c r="N34" s="11">
        <f>IFERROR(VLOOKUP(A34,'02_ประเมิน50ร้าน'!$A$2:$BR$51,65,FALSE),"")</f>
        <v>0.7142857143</v>
      </c>
      <c r="O34" s="11">
        <f>IFERROR(VLOOKUP(A34,'02_ประเมิน50ร้าน'!$A$2:$BR$51,66,FALSE),"")</f>
        <v>0.7142857143</v>
      </c>
      <c r="P34" s="11">
        <f>IFERROR(VLOOKUP(A34,'02_ประเมิน50ร้าน'!$A$2:$BR$51,67,FALSE),"")</f>
        <v>0.6071428571</v>
      </c>
      <c r="Q34" s="11">
        <f>IFERROR(VLOOKUP(A34,'02_ประเมิน50ร้าน'!$A$2:$BR$51,68,FALSE),"")</f>
        <v>0.75</v>
      </c>
      <c r="R34" s="11">
        <f>IFERROR(VLOOKUP(A34,'02_ประเมิน50ร้าน'!$A$2:$BR$51,69,FALSE),"")</f>
        <v>0.9375</v>
      </c>
      <c r="S34" s="8" t="str">
        <f t="shared" si="1"/>
        <v>ติดตามพัฒนาตามมิติที่คะแนนต่ำสุด</v>
      </c>
      <c r="T34" s="8" t="str">
        <f>IFERROR(VLOOKUP(A34,'02_ประเมิน50ร้าน'!$A$2:$BR$51,71,FALSE),"")</f>
        <v/>
      </c>
    </row>
    <row r="35" ht="15.75" customHeight="1">
      <c r="A35" s="8" t="s">
        <v>276</v>
      </c>
      <c r="B35" s="8" t="str">
        <f>IFERROR(VLOOKUP(A35,'01_ข้อมูลร้าน'!$A$2:$C$51,2,FALSE),"")</f>
        <v>เทียบจันท์</v>
      </c>
      <c r="C35" s="8" t="str">
        <f>IFERROR(VLOOKUP(A35,'01_ข้อมูลร้าน'!$A$2:$C$51,3,FALSE),"")</f>
        <v/>
      </c>
      <c r="D35" s="11">
        <f>IFERROR(VLOOKUP(A35,'02_ประเมิน50ร้าน'!$A$2:$BR$51,55,FALSE),"")</f>
        <v>1</v>
      </c>
      <c r="E35" s="8">
        <f>IFERROR(VLOOKUP(A35,'02_ประเมิน50ร้าน'!$A$2:$BR$51,56,FALSE),"")</f>
        <v>107</v>
      </c>
      <c r="F35" s="11">
        <f>IFERROR(VLOOKUP(A35,'02_ประเมิน50ร้าน'!$A$2:$BR$51,57,FALSE),"")</f>
        <v>0.535</v>
      </c>
      <c r="G35" s="11">
        <f>IFERROR(VLOOKUP(A35,'02_ประเมิน50ร้าน'!$A$2:$BR$51,58,FALSE),"")</f>
        <v>0.5380952381</v>
      </c>
      <c r="H35" s="8">
        <f>IFERROR(VLOOKUP(A35,'02_ประเมิน50ร้าน'!$A$2:$BR$51,59,FALSE),"")</f>
        <v>11</v>
      </c>
      <c r="I35" s="8" t="str">
        <f>IFERROR(VLOOKUP(A35,'02_ประเมิน50ร้าน'!$A$2:$BR$51,60,FALSE),"")</f>
        <v>ต้องพัฒนา</v>
      </c>
      <c r="J35" s="8" t="str">
        <f>IFERROR(VLOOKUP(A35,'02_ประเมิน50ร้าน'!$A$2:$BR$51,61,FALSE),"")</f>
        <v>มิติ 1</v>
      </c>
      <c r="K35" s="11">
        <f>IFERROR(VLOOKUP(A35,'02_ประเมิน50ร้าน'!$A$2:$BR$51,62,FALSE),"")</f>
        <v>0.4285714286</v>
      </c>
      <c r="L35" s="11">
        <f>IFERROR(VLOOKUP(A35,'02_ประเมิน50ร้าน'!$A$2:$BR$51,63,FALSE),"")</f>
        <v>0.4285714286</v>
      </c>
      <c r="M35" s="11">
        <f>IFERROR(VLOOKUP(A35,'02_ประเมิน50ร้าน'!$A$2:$BR$51,64,FALSE),"")</f>
        <v>0.5416666667</v>
      </c>
      <c r="N35" s="11">
        <f>IFERROR(VLOOKUP(A35,'02_ประเมิน50ร้าน'!$A$2:$BR$51,65,FALSE),"")</f>
        <v>0.6071428571</v>
      </c>
      <c r="O35" s="11">
        <f>IFERROR(VLOOKUP(A35,'02_ประเมิน50ร้าน'!$A$2:$BR$51,66,FALSE),"")</f>
        <v>0.4285714286</v>
      </c>
      <c r="P35" s="11">
        <f>IFERROR(VLOOKUP(A35,'02_ประเมิน50ร้าน'!$A$2:$BR$51,67,FALSE),"")</f>
        <v>0.7142857143</v>
      </c>
      <c r="Q35" s="11">
        <f>IFERROR(VLOOKUP(A35,'02_ประเมิน50ร้าน'!$A$2:$BR$51,68,FALSE),"")</f>
        <v>0.45</v>
      </c>
      <c r="R35" s="11">
        <f>IFERROR(VLOOKUP(A35,'02_ประเมิน50ร้าน'!$A$2:$BR$51,69,FALSE),"")</f>
        <v>0.75</v>
      </c>
      <c r="S35" s="8" t="str">
        <f t="shared" si="1"/>
        <v>ตรวจข้อคะแนน 0-1 และจัดทำแผน 7/30/90 วัน</v>
      </c>
      <c r="T35" s="8" t="str">
        <f>IFERROR(VLOOKUP(A35,'02_ประเมิน50ร้าน'!$A$2:$BR$51,71,FALSE),"")</f>
        <v/>
      </c>
    </row>
    <row r="36" ht="15.75" customHeight="1">
      <c r="A36" s="8" t="s">
        <v>278</v>
      </c>
      <c r="B36" s="8" t="str">
        <f>IFERROR(VLOOKUP(A36,'01_ข้อมูลร้าน'!$A$2:$C$51,2,FALSE),"")</f>
        <v>The Chanthaboon Coffee กาแฟจันทบูร</v>
      </c>
      <c r="C36" s="8" t="str">
        <f>IFERROR(VLOOKUP(A36,'01_ข้อมูลร้าน'!$A$2:$C$51,3,FALSE),"")</f>
        <v/>
      </c>
      <c r="D36" s="11">
        <f>IFERROR(VLOOKUP(A36,'02_ประเมิน50ร้าน'!$A$2:$BR$51,55,FALSE),"")</f>
        <v>1</v>
      </c>
      <c r="E36" s="8">
        <f>IFERROR(VLOOKUP(A36,'02_ประเมิน50ร้าน'!$A$2:$BR$51,56,FALSE),"")</f>
        <v>140</v>
      </c>
      <c r="F36" s="11">
        <f>IFERROR(VLOOKUP(A36,'02_ประเมิน50ร้าน'!$A$2:$BR$51,57,FALSE),"")</f>
        <v>0.7</v>
      </c>
      <c r="G36" s="11">
        <f>IFERROR(VLOOKUP(A36,'02_ประเมิน50ร้าน'!$A$2:$BR$51,58,FALSE),"")</f>
        <v>0.6638988095</v>
      </c>
      <c r="H36" s="8">
        <f>IFERROR(VLOOKUP(A36,'02_ประเมิน50ร้าน'!$A$2:$BR$51,59,FALSE),"")</f>
        <v>1</v>
      </c>
      <c r="I36" s="8" t="str">
        <f>IFERROR(VLOOKUP(A36,'02_ประเมิน50ร้าน'!$A$2:$BR$51,60,FALSE),"")</f>
        <v>ดี</v>
      </c>
      <c r="J36" s="8" t="str">
        <f>IFERROR(VLOOKUP(A36,'02_ประเมิน50ร้าน'!$A$2:$BR$51,61,FALSE),"")</f>
        <v>มิติ 6</v>
      </c>
      <c r="K36" s="11">
        <f>IFERROR(VLOOKUP(A36,'02_ประเมิน50ร้าน'!$A$2:$BR$51,62,FALSE),"")</f>
        <v>0.9285714286</v>
      </c>
      <c r="L36" s="11">
        <f>IFERROR(VLOOKUP(A36,'02_ประเมิน50ร้าน'!$A$2:$BR$51,63,FALSE),"")</f>
        <v>0.6428571429</v>
      </c>
      <c r="M36" s="11">
        <f>IFERROR(VLOOKUP(A36,'02_ประเมิน50ร้าน'!$A$2:$BR$51,64,FALSE),"")</f>
        <v>0.9166666667</v>
      </c>
      <c r="N36" s="11">
        <f>IFERROR(VLOOKUP(A36,'02_ประเมิน50ร้าน'!$A$2:$BR$51,65,FALSE),"")</f>
        <v>0.5714285714</v>
      </c>
      <c r="O36" s="11">
        <f>IFERROR(VLOOKUP(A36,'02_ประเมิน50ร้าน'!$A$2:$BR$51,66,FALSE),"")</f>
        <v>0.5357142857</v>
      </c>
      <c r="P36" s="11">
        <f>IFERROR(VLOOKUP(A36,'02_ประเมิน50ร้าน'!$A$2:$BR$51,67,FALSE),"")</f>
        <v>0.4642857143</v>
      </c>
      <c r="Q36" s="11">
        <f>IFERROR(VLOOKUP(A36,'02_ประเมิน50ร้าน'!$A$2:$BR$51,68,FALSE),"")</f>
        <v>0.85</v>
      </c>
      <c r="R36" s="11">
        <f>IFERROR(VLOOKUP(A36,'02_ประเมิน50ร้าน'!$A$2:$BR$51,69,FALSE),"")</f>
        <v>0.8125</v>
      </c>
      <c r="S36" s="8" t="str">
        <f t="shared" si="1"/>
        <v>ตรวจข้อคะแนน 0-1 และจัดทำแผน 7/30/90 วัน</v>
      </c>
      <c r="T36" s="8" t="str">
        <f>IFERROR(VLOOKUP(A36,'02_ประเมิน50ร้าน'!$A$2:$BR$51,71,FALSE),"")</f>
        <v/>
      </c>
    </row>
    <row r="37" ht="15.75" customHeight="1">
      <c r="A37" s="8" t="s">
        <v>284</v>
      </c>
      <c r="B37" s="8" t="str">
        <f>IFERROR(VLOOKUP(A37,'01_ข้อมูลร้าน'!$A$2:$C$51,2,FALSE),"")</f>
        <v>Garagecafechan</v>
      </c>
      <c r="C37" s="8" t="str">
        <f>IFERROR(VLOOKUP(A37,'01_ข้อมูลร้าน'!$A$2:$C$51,3,FALSE),"")</f>
        <v/>
      </c>
      <c r="D37" s="11">
        <f>IFERROR(VLOOKUP(A37,'02_ประเมิน50ร้าน'!$A$2:$BR$51,55,FALSE),"")</f>
        <v>1</v>
      </c>
      <c r="E37" s="8">
        <f>IFERROR(VLOOKUP(A37,'02_ประเมิน50ร้าน'!$A$2:$BR$51,56,FALSE),"")</f>
        <v>163</v>
      </c>
      <c r="F37" s="11">
        <f>IFERROR(VLOOKUP(A37,'02_ประเมิน50ร้าน'!$A$2:$BR$51,57,FALSE),"")</f>
        <v>0.815</v>
      </c>
      <c r="G37" s="11">
        <f>IFERROR(VLOOKUP(A37,'02_ประเมิน50ร้าน'!$A$2:$BR$51,58,FALSE),"")</f>
        <v>0.820952381</v>
      </c>
      <c r="H37" s="8">
        <f>IFERROR(VLOOKUP(A37,'02_ประเมิน50ร้าน'!$A$2:$BR$51,59,FALSE),"")</f>
        <v>2</v>
      </c>
      <c r="I37" s="8" t="str">
        <f>IFERROR(VLOOKUP(A37,'02_ประเมิน50ร้าน'!$A$2:$BR$51,60,FALSE),"")</f>
        <v>ดีมาก</v>
      </c>
      <c r="J37" s="8" t="str">
        <f>IFERROR(VLOOKUP(A37,'02_ประเมิน50ร้าน'!$A$2:$BR$51,61,FALSE),"")</f>
        <v>มิติ 2</v>
      </c>
      <c r="K37" s="11">
        <f>IFERROR(VLOOKUP(A37,'02_ประเมิน50ร้าน'!$A$2:$BR$51,62,FALSE),"")</f>
        <v>0.7857142857</v>
      </c>
      <c r="L37" s="11">
        <f>IFERROR(VLOOKUP(A37,'02_ประเมิน50ร้าน'!$A$2:$BR$51,63,FALSE),"")</f>
        <v>0.5714285714</v>
      </c>
      <c r="M37" s="11">
        <f>IFERROR(VLOOKUP(A37,'02_ประเมิน50ร้าน'!$A$2:$BR$51,64,FALSE),"")</f>
        <v>0.9166666667</v>
      </c>
      <c r="N37" s="11">
        <f>IFERROR(VLOOKUP(A37,'02_ประเมิน50ร้าน'!$A$2:$BR$51,65,FALSE),"")</f>
        <v>0.8928571429</v>
      </c>
      <c r="O37" s="11">
        <f>IFERROR(VLOOKUP(A37,'02_ประเมิน50ร้าน'!$A$2:$BR$51,66,FALSE),"")</f>
        <v>0.7857142857</v>
      </c>
      <c r="P37" s="11">
        <f>IFERROR(VLOOKUP(A37,'02_ประเมิน50ร้าน'!$A$2:$BR$51,67,FALSE),"")</f>
        <v>0.9642857143</v>
      </c>
      <c r="Q37" s="11">
        <f>IFERROR(VLOOKUP(A37,'02_ประเมิน50ร้าน'!$A$2:$BR$51,68,FALSE),"")</f>
        <v>0.65</v>
      </c>
      <c r="R37" s="11">
        <f>IFERROR(VLOOKUP(A37,'02_ประเมิน50ร้าน'!$A$2:$BR$51,69,FALSE),"")</f>
        <v>1</v>
      </c>
      <c r="S37" s="8" t="str">
        <f t="shared" si="1"/>
        <v>ตรวจข้อคะแนน 0-1 และจัดทำแผน 7/30/90 วัน</v>
      </c>
      <c r="T37" s="8" t="str">
        <f>IFERROR(VLOOKUP(A37,'02_ประเมิน50ร้าน'!$A$2:$BR$51,71,FALSE),"")</f>
        <v/>
      </c>
    </row>
    <row r="38" ht="15.75" customHeight="1">
      <c r="A38" s="8" t="s">
        <v>286</v>
      </c>
      <c r="B38" s="8" t="str">
        <f>IFERROR(VLOOKUP(A38,'01_ข้อมูลร้าน'!$A$2:$C$51,2,FALSE),"")</f>
        <v>จันทรโภชนา</v>
      </c>
      <c r="C38" s="8" t="str">
        <f>IFERROR(VLOOKUP(A38,'01_ข้อมูลร้าน'!$A$2:$C$51,3,FALSE),"")</f>
        <v/>
      </c>
      <c r="D38" s="11">
        <f>IFERROR(VLOOKUP(A38,'02_ประเมิน50ร้าน'!$A$2:$BR$51,55,FALSE),"")</f>
        <v>1</v>
      </c>
      <c r="E38" s="8">
        <f>IFERROR(VLOOKUP(A38,'02_ประเมิน50ร้าน'!$A$2:$BR$51,56,FALSE),"")</f>
        <v>180</v>
      </c>
      <c r="F38" s="11">
        <f>IFERROR(VLOOKUP(A38,'02_ประเมิน50ร้าน'!$A$2:$BR$51,57,FALSE),"")</f>
        <v>0.9</v>
      </c>
      <c r="G38" s="11">
        <f>IFERROR(VLOOKUP(A38,'02_ประเมิน50ร้าน'!$A$2:$BR$51,58,FALSE),"")</f>
        <v>0.8874107143</v>
      </c>
      <c r="H38" s="8">
        <f>IFERROR(VLOOKUP(A38,'02_ประเมิน50ร้าน'!$A$2:$BR$51,59,FALSE),"")</f>
        <v>0</v>
      </c>
      <c r="I38" s="8" t="str">
        <f>IFERROR(VLOOKUP(A38,'02_ประเมิน50ร้าน'!$A$2:$BR$51,60,FALSE),"")</f>
        <v>ดีมาก</v>
      </c>
      <c r="J38" s="8" t="str">
        <f>IFERROR(VLOOKUP(A38,'02_ประเมิน50ร้าน'!$A$2:$BR$51,61,FALSE),"")</f>
        <v>มิติ 6</v>
      </c>
      <c r="K38" s="11">
        <f>IFERROR(VLOOKUP(A38,'02_ประเมิน50ร้าน'!$A$2:$BR$51,62,FALSE),"")</f>
        <v>0.8928571429</v>
      </c>
      <c r="L38" s="11">
        <f>IFERROR(VLOOKUP(A38,'02_ประเมิน50ร้าน'!$A$2:$BR$51,63,FALSE),"")</f>
        <v>0.8928571429</v>
      </c>
      <c r="M38" s="11">
        <f>IFERROR(VLOOKUP(A38,'02_ประเมิน50ร้าน'!$A$2:$BR$51,64,FALSE),"")</f>
        <v>1</v>
      </c>
      <c r="N38" s="11">
        <f>IFERROR(VLOOKUP(A38,'02_ประเมิน50ร้าน'!$A$2:$BR$51,65,FALSE),"")</f>
        <v>0.8571428571</v>
      </c>
      <c r="O38" s="11">
        <f>IFERROR(VLOOKUP(A38,'02_ประเมิน50ร้าน'!$A$2:$BR$51,66,FALSE),"")</f>
        <v>0.8571428571</v>
      </c>
      <c r="P38" s="11">
        <f>IFERROR(VLOOKUP(A38,'02_ประเมิน50ร้าน'!$A$2:$BR$51,67,FALSE),"")</f>
        <v>0.8214285714</v>
      </c>
      <c r="Q38" s="11">
        <f>IFERROR(VLOOKUP(A38,'02_ประเมิน50ร้าน'!$A$2:$BR$51,68,FALSE),"")</f>
        <v>1</v>
      </c>
      <c r="R38" s="11">
        <f>IFERROR(VLOOKUP(A38,'02_ประเมิน50ร้าน'!$A$2:$BR$51,69,FALSE),"")</f>
        <v>0.9375</v>
      </c>
      <c r="S38" s="8" t="str">
        <f t="shared" si="1"/>
        <v>ติดตามพัฒนาตามมิติที่คะแนนต่ำสุด</v>
      </c>
      <c r="T38" s="8" t="str">
        <f>IFERROR(VLOOKUP(A38,'02_ประเมิน50ร้าน'!$A$2:$BR$51,71,FALSE),"")</f>
        <v/>
      </c>
    </row>
    <row r="39" ht="15.75" customHeight="1">
      <c r="A39" s="8" t="s">
        <v>291</v>
      </c>
      <c r="B39" s="8" t="str">
        <f>IFERROR(VLOOKUP(A39,'01_ข้อมูลร้าน'!$A$2:$C$51,2,FALSE),"")</f>
        <v>Grizzly Gelato</v>
      </c>
      <c r="C39" s="8" t="str">
        <f>IFERROR(VLOOKUP(A39,'01_ข้อมูลร้าน'!$A$2:$C$51,3,FALSE),"")</f>
        <v/>
      </c>
      <c r="D39" s="11">
        <f>IFERROR(VLOOKUP(A39,'02_ประเมิน50ร้าน'!$A$2:$BR$51,55,FALSE),"")</f>
        <v>1</v>
      </c>
      <c r="E39" s="8">
        <f>IFERROR(VLOOKUP(A39,'02_ประเมิน50ร้าน'!$A$2:$BR$51,56,FALSE),"")</f>
        <v>144</v>
      </c>
      <c r="F39" s="11">
        <f>IFERROR(VLOOKUP(A39,'02_ประเมิน50ร้าน'!$A$2:$BR$51,57,FALSE),"")</f>
        <v>0.72</v>
      </c>
      <c r="G39" s="11">
        <f>IFERROR(VLOOKUP(A39,'02_ประเมิน50ร้าน'!$A$2:$BR$51,58,FALSE),"")</f>
        <v>0.7201190476</v>
      </c>
      <c r="H39" s="8">
        <f>IFERROR(VLOOKUP(A39,'02_ประเมิน50ร้าน'!$A$2:$BR$51,59,FALSE),"")</f>
        <v>1</v>
      </c>
      <c r="I39" s="8" t="str">
        <f>IFERROR(VLOOKUP(A39,'02_ประเมิน50ร้าน'!$A$2:$BR$51,60,FALSE),"")</f>
        <v>ดี</v>
      </c>
      <c r="J39" s="8" t="str">
        <f>IFERROR(VLOOKUP(A39,'02_ประเมิน50ร้าน'!$A$2:$BR$51,61,FALSE),"")</f>
        <v>มิติ 5</v>
      </c>
      <c r="K39" s="11">
        <f>IFERROR(VLOOKUP(A39,'02_ประเมิน50ร้าน'!$A$2:$BR$51,62,FALSE),"")</f>
        <v>0.7142857143</v>
      </c>
      <c r="L39" s="11">
        <f>IFERROR(VLOOKUP(A39,'02_ประเมิน50ร้าน'!$A$2:$BR$51,63,FALSE),"")</f>
        <v>0.6785714286</v>
      </c>
      <c r="M39" s="11">
        <f>IFERROR(VLOOKUP(A39,'02_ประเมิน50ร้าน'!$A$2:$BR$51,64,FALSE),"")</f>
        <v>0.7083333333</v>
      </c>
      <c r="N39" s="11">
        <f>IFERROR(VLOOKUP(A39,'02_ประเมิน50ร้าน'!$A$2:$BR$51,65,FALSE),"")</f>
        <v>0.6428571429</v>
      </c>
      <c r="O39" s="11">
        <f>IFERROR(VLOOKUP(A39,'02_ประเมิน50ร้าน'!$A$2:$BR$51,66,FALSE),"")</f>
        <v>0.6071428571</v>
      </c>
      <c r="P39" s="11">
        <f>IFERROR(VLOOKUP(A39,'02_ประเมิน50ร้าน'!$A$2:$BR$51,67,FALSE),"")</f>
        <v>0.8571428571</v>
      </c>
      <c r="Q39" s="11">
        <f>IFERROR(VLOOKUP(A39,'02_ประเมิน50ร้าน'!$A$2:$BR$51,68,FALSE),"")</f>
        <v>0.65</v>
      </c>
      <c r="R39" s="11">
        <f>IFERROR(VLOOKUP(A39,'02_ประเมิน50ร้าน'!$A$2:$BR$51,69,FALSE),"")</f>
        <v>1</v>
      </c>
      <c r="S39" s="8" t="str">
        <f t="shared" si="1"/>
        <v>ตรวจข้อคะแนน 0-1 และจัดทำแผน 7/30/90 วัน</v>
      </c>
      <c r="T39" s="8" t="str">
        <f>IFERROR(VLOOKUP(A39,'02_ประเมิน50ร้าน'!$A$2:$BR$51,71,FALSE),"")</f>
        <v/>
      </c>
    </row>
    <row r="40" ht="15.75" customHeight="1">
      <c r="A40" s="8" t="s">
        <v>296</v>
      </c>
      <c r="B40" s="8" t="str">
        <f>IFERROR(VLOOKUP(A40,'01_ข้อมูลร้าน'!$A$2:$C$51,2,FALSE),"")</f>
        <v>ครัวตามธาตุ</v>
      </c>
      <c r="C40" s="8" t="str">
        <f>IFERROR(VLOOKUP(A40,'01_ข้อมูลร้าน'!$A$2:$C$51,3,FALSE),"")</f>
        <v/>
      </c>
      <c r="D40" s="11">
        <f>IFERROR(VLOOKUP(A40,'02_ประเมิน50ร้าน'!$A$2:$BR$51,55,FALSE),"")</f>
        <v>1</v>
      </c>
      <c r="E40" s="8">
        <f>IFERROR(VLOOKUP(A40,'02_ประเมิน50ร้าน'!$A$2:$BR$51,56,FALSE),"")</f>
        <v>80</v>
      </c>
      <c r="F40" s="11">
        <f>IFERROR(VLOOKUP(A40,'02_ประเมิน50ร้าน'!$A$2:$BR$51,57,FALSE),"")</f>
        <v>0.4</v>
      </c>
      <c r="G40" s="11">
        <f>IFERROR(VLOOKUP(A40,'02_ประเมิน50ร้าน'!$A$2:$BR$51,58,FALSE),"")</f>
        <v>0.4083630952</v>
      </c>
      <c r="H40" s="8">
        <f>IFERROR(VLOOKUP(A40,'02_ประเมิน50ร้าน'!$A$2:$BR$51,59,FALSE),"")</f>
        <v>26</v>
      </c>
      <c r="I40" s="8" t="str">
        <f>IFERROR(VLOOKUP(A40,'02_ประเมิน50ร้าน'!$A$2:$BR$51,60,FALSE),"")</f>
        <v>เร่งแก้ไข</v>
      </c>
      <c r="J40" s="8" t="str">
        <f>IFERROR(VLOOKUP(A40,'02_ประเมิน50ร้าน'!$A$2:$BR$51,61,FALSE),"")</f>
        <v>มิติ 4</v>
      </c>
      <c r="K40" s="11">
        <f>IFERROR(VLOOKUP(A40,'02_ประเมิน50ร้าน'!$A$2:$BR$51,62,FALSE),"")</f>
        <v>0.2142857143</v>
      </c>
      <c r="L40" s="11">
        <f>IFERROR(VLOOKUP(A40,'02_ประเมิน50ร้าน'!$A$2:$BR$51,63,FALSE),"")</f>
        <v>0.25</v>
      </c>
      <c r="M40" s="11">
        <f>IFERROR(VLOOKUP(A40,'02_ประเมิน50ร้าน'!$A$2:$BR$51,64,FALSE),"")</f>
        <v>0.2916666667</v>
      </c>
      <c r="N40" s="11">
        <f>IFERROR(VLOOKUP(A40,'02_ประเมิน50ร้าน'!$A$2:$BR$51,65,FALSE),"")</f>
        <v>0.1785714286</v>
      </c>
      <c r="O40" s="11">
        <f>IFERROR(VLOOKUP(A40,'02_ประเมิน50ร้าน'!$A$2:$BR$51,66,FALSE),"")</f>
        <v>0.6071428571</v>
      </c>
      <c r="P40" s="11">
        <f>IFERROR(VLOOKUP(A40,'02_ประเมิน50ร้าน'!$A$2:$BR$51,67,FALSE),"")</f>
        <v>0.6428571429</v>
      </c>
      <c r="Q40" s="11">
        <f>IFERROR(VLOOKUP(A40,'02_ประเมิน50ร้าน'!$A$2:$BR$51,68,FALSE),"")</f>
        <v>0.85</v>
      </c>
      <c r="R40" s="11">
        <f>IFERROR(VLOOKUP(A40,'02_ประเมิน50ร้าน'!$A$2:$BR$51,69,FALSE),"")</f>
        <v>0.1875</v>
      </c>
      <c r="S40" s="8" t="str">
        <f t="shared" si="1"/>
        <v>ตรวจข้อคะแนน 0-1 และจัดทำแผน 7/30/90 วัน</v>
      </c>
      <c r="T40" s="8" t="str">
        <f>IFERROR(VLOOKUP(A40,'02_ประเมิน50ร้าน'!$A$2:$BR$51,71,FALSE),"")</f>
        <v/>
      </c>
    </row>
    <row r="41" ht="15.75" customHeight="1">
      <c r="A41" s="8" t="s">
        <v>298</v>
      </c>
      <c r="B41" s="8" t="str">
        <f>IFERROR(VLOOKUP(A41,'01_ข้อมูลร้าน'!$A$2:$C$51,2,FALSE),"")</f>
        <v>จิน ข้าวมันไก่สไตล์สิงคโปร์</v>
      </c>
      <c r="C41" s="8" t="str">
        <f>IFERROR(VLOOKUP(A41,'01_ข้อมูลร้าน'!$A$2:$C$51,3,FALSE),"")</f>
        <v/>
      </c>
      <c r="D41" s="11">
        <f>IFERROR(VLOOKUP(A41,'02_ประเมิน50ร้าน'!$A$2:$BR$51,55,FALSE),"")</f>
        <v>1</v>
      </c>
      <c r="E41" s="8">
        <f>IFERROR(VLOOKUP(A41,'02_ประเมิน50ร้าน'!$A$2:$BR$51,56,FALSE),"")</f>
        <v>158</v>
      </c>
      <c r="F41" s="11">
        <f>IFERROR(VLOOKUP(A41,'02_ประเมิน50ร้าน'!$A$2:$BR$51,57,FALSE),"")</f>
        <v>0.79</v>
      </c>
      <c r="G41" s="11">
        <f>IFERROR(VLOOKUP(A41,'02_ประเมิน50ร้าน'!$A$2:$BR$51,58,FALSE),"")</f>
        <v>0.8058630952</v>
      </c>
      <c r="H41" s="8">
        <f>IFERROR(VLOOKUP(A41,'02_ประเมิน50ร้าน'!$A$2:$BR$51,59,FALSE),"")</f>
        <v>4</v>
      </c>
      <c r="I41" s="8" t="str">
        <f>IFERROR(VLOOKUP(A41,'02_ประเมิน50ร้าน'!$A$2:$BR$51,60,FALSE),"")</f>
        <v>ดีมาก</v>
      </c>
      <c r="J41" s="8" t="str">
        <f>IFERROR(VLOOKUP(A41,'02_ประเมิน50ร้าน'!$A$2:$BR$51,61,FALSE),"")</f>
        <v>มิติ 2</v>
      </c>
      <c r="K41" s="11">
        <f>IFERROR(VLOOKUP(A41,'02_ประเมิน50ร้าน'!$A$2:$BR$51,62,FALSE),"")</f>
        <v>0.75</v>
      </c>
      <c r="L41" s="11">
        <f>IFERROR(VLOOKUP(A41,'02_ประเมิน50ร้าน'!$A$2:$BR$51,63,FALSE),"")</f>
        <v>0.6428571429</v>
      </c>
      <c r="M41" s="11">
        <f>IFERROR(VLOOKUP(A41,'02_ประเมิน50ร้าน'!$A$2:$BR$51,64,FALSE),"")</f>
        <v>0.7916666667</v>
      </c>
      <c r="N41" s="11">
        <f>IFERROR(VLOOKUP(A41,'02_ประเมิน50ร้าน'!$A$2:$BR$51,65,FALSE),"")</f>
        <v>0.7857142857</v>
      </c>
      <c r="O41" s="11">
        <f>IFERROR(VLOOKUP(A41,'02_ประเมิน50ร้าน'!$A$2:$BR$51,66,FALSE),"")</f>
        <v>0.9285714286</v>
      </c>
      <c r="P41" s="11">
        <f>IFERROR(VLOOKUP(A41,'02_ประเมิน50ร้าน'!$A$2:$BR$51,67,FALSE),"")</f>
        <v>0.8571428571</v>
      </c>
      <c r="Q41" s="11">
        <f>IFERROR(VLOOKUP(A41,'02_ประเมิน50ร้าน'!$A$2:$BR$51,68,FALSE),"")</f>
        <v>0.65</v>
      </c>
      <c r="R41" s="11">
        <f>IFERROR(VLOOKUP(A41,'02_ประเมิน50ร้าน'!$A$2:$BR$51,69,FALSE),"")</f>
        <v>0.9375</v>
      </c>
      <c r="S41" s="8" t="str">
        <f t="shared" si="1"/>
        <v>ตรวจข้อคะแนน 0-1 และจัดทำแผน 7/30/90 วัน</v>
      </c>
      <c r="T41" s="8" t="str">
        <f>IFERROR(VLOOKUP(A41,'02_ประเมิน50ร้าน'!$A$2:$BR$51,71,FALSE),"")</f>
        <v/>
      </c>
    </row>
    <row r="42" ht="15.75" customHeight="1">
      <c r="A42" s="8" t="s">
        <v>304</v>
      </c>
      <c r="B42" s="8" t="str">
        <f>IFERROR(VLOOKUP(A42,'01_ข้อมูลร้าน'!$A$2:$C$51,2,FALSE),"")</f>
        <v>สุขทุกวัน คาเฟ่</v>
      </c>
      <c r="C42" s="8" t="str">
        <f>IFERROR(VLOOKUP(A42,'01_ข้อมูลร้าน'!$A$2:$C$51,3,FALSE),"")</f>
        <v/>
      </c>
      <c r="D42" s="11">
        <f>IFERROR(VLOOKUP(A42,'02_ประเมิน50ร้าน'!$A$2:$BR$51,55,FALSE),"")</f>
        <v>1</v>
      </c>
      <c r="E42" s="8">
        <f>IFERROR(VLOOKUP(A42,'02_ประเมิน50ร้าน'!$A$2:$BR$51,56,FALSE),"")</f>
        <v>152</v>
      </c>
      <c r="F42" s="11">
        <f>IFERROR(VLOOKUP(A42,'02_ประเมิน50ร้าน'!$A$2:$BR$51,57,FALSE),"")</f>
        <v>0.76</v>
      </c>
      <c r="G42" s="11">
        <f>IFERROR(VLOOKUP(A42,'02_ประเมิน50ร้าน'!$A$2:$BR$51,58,FALSE),"")</f>
        <v>0.7544047619</v>
      </c>
      <c r="H42" s="8">
        <f>IFERROR(VLOOKUP(A42,'02_ประเมิน50ร้าน'!$A$2:$BR$51,59,FALSE),"")</f>
        <v>2</v>
      </c>
      <c r="I42" s="8" t="str">
        <f>IFERROR(VLOOKUP(A42,'02_ประเมิน50ร้าน'!$A$2:$BR$51,60,FALSE),"")</f>
        <v>ดี</v>
      </c>
      <c r="J42" s="8" t="str">
        <f>IFERROR(VLOOKUP(A42,'02_ประเมิน50ร้าน'!$A$2:$BR$51,61,FALSE),"")</f>
        <v>มิติ 2</v>
      </c>
      <c r="K42" s="11">
        <f>IFERROR(VLOOKUP(A42,'02_ประเมิน50ร้าน'!$A$2:$BR$51,62,FALSE),"")</f>
        <v>0.6428571429</v>
      </c>
      <c r="L42" s="11">
        <f>IFERROR(VLOOKUP(A42,'02_ประเมิน50ร้าน'!$A$2:$BR$51,63,FALSE),"")</f>
        <v>0.5357142857</v>
      </c>
      <c r="M42" s="11">
        <f>IFERROR(VLOOKUP(A42,'02_ประเมิน50ร้าน'!$A$2:$BR$51,64,FALSE),"")</f>
        <v>0.8333333333</v>
      </c>
      <c r="N42" s="11">
        <f>IFERROR(VLOOKUP(A42,'02_ประเมิน50ร้าน'!$A$2:$BR$51,65,FALSE),"")</f>
        <v>0.7142857143</v>
      </c>
      <c r="O42" s="11">
        <f>IFERROR(VLOOKUP(A42,'02_ประเมิน50ร้าน'!$A$2:$BR$51,66,FALSE),"")</f>
        <v>0.8214285714</v>
      </c>
      <c r="P42" s="11">
        <f>IFERROR(VLOOKUP(A42,'02_ประเมิน50ร้าน'!$A$2:$BR$51,67,FALSE),"")</f>
        <v>0.7857142857</v>
      </c>
      <c r="Q42" s="11">
        <f>IFERROR(VLOOKUP(A42,'02_ประเมิน50ร้าน'!$A$2:$BR$51,68,FALSE),"")</f>
        <v>0.9</v>
      </c>
      <c r="R42" s="11">
        <f>IFERROR(VLOOKUP(A42,'02_ประเมิน50ร้าน'!$A$2:$BR$51,69,FALSE),"")</f>
        <v>1</v>
      </c>
      <c r="S42" s="8" t="str">
        <f t="shared" si="1"/>
        <v>ตรวจข้อคะแนน 0-1 และจัดทำแผน 7/30/90 วัน</v>
      </c>
      <c r="T42" s="8" t="str">
        <f>IFERROR(VLOOKUP(A42,'02_ประเมิน50ร้าน'!$A$2:$BR$51,71,FALSE),"")</f>
        <v/>
      </c>
    </row>
    <row r="43" ht="15.75" customHeight="1">
      <c r="A43" s="8" t="s">
        <v>310</v>
      </c>
      <c r="B43" s="8" t="str">
        <f>IFERROR(VLOOKUP(A43,'01_ข้อมูลร้าน'!$A$2:$C$51,2,FALSE),"")</f>
        <v>เลย เดอ ลอง</v>
      </c>
      <c r="C43" s="8" t="str">
        <f>IFERROR(VLOOKUP(A43,'01_ข้อมูลร้าน'!$A$2:$C$51,3,FALSE),"")</f>
        <v/>
      </c>
      <c r="D43" s="11">
        <f>IFERROR(VLOOKUP(A43,'02_ประเมิน50ร้าน'!$A$2:$BR$51,55,FALSE),"")</f>
        <v>1</v>
      </c>
      <c r="E43" s="8">
        <f>IFERROR(VLOOKUP(A43,'02_ประเมิน50ร้าน'!$A$2:$BR$51,56,FALSE),"")</f>
        <v>149</v>
      </c>
      <c r="F43" s="11">
        <f>IFERROR(VLOOKUP(A43,'02_ประเมิน50ร้าน'!$A$2:$BR$51,57,FALSE),"")</f>
        <v>0.745</v>
      </c>
      <c r="G43" s="11">
        <f>IFERROR(VLOOKUP(A43,'02_ประเมิน50ร้าน'!$A$2:$BR$51,58,FALSE),"")</f>
        <v>0.7609821429</v>
      </c>
      <c r="H43" s="8">
        <f>IFERROR(VLOOKUP(A43,'02_ประเมิน50ร้าน'!$A$2:$BR$51,59,FALSE),"")</f>
        <v>1</v>
      </c>
      <c r="I43" s="8" t="str">
        <f>IFERROR(VLOOKUP(A43,'02_ประเมิน50ร้าน'!$A$2:$BR$51,60,FALSE),"")</f>
        <v>ดี</v>
      </c>
      <c r="J43" s="8" t="str">
        <f>IFERROR(VLOOKUP(A43,'02_ประเมิน50ร้าน'!$A$2:$BR$51,61,FALSE),"")</f>
        <v>มิติ 7</v>
      </c>
      <c r="K43" s="11">
        <f>IFERROR(VLOOKUP(A43,'02_ประเมิน50ร้าน'!$A$2:$BR$51,62,FALSE),"")</f>
        <v>0.6785714286</v>
      </c>
      <c r="L43" s="11">
        <f>IFERROR(VLOOKUP(A43,'02_ประเมิน50ร้าน'!$A$2:$BR$51,63,FALSE),"")</f>
        <v>0.75</v>
      </c>
      <c r="M43" s="11">
        <f>IFERROR(VLOOKUP(A43,'02_ประเมิน50ร้าน'!$A$2:$BR$51,64,FALSE),"")</f>
        <v>0.75</v>
      </c>
      <c r="N43" s="11">
        <f>IFERROR(VLOOKUP(A43,'02_ประเมิน50ร้าน'!$A$2:$BR$51,65,FALSE),"")</f>
        <v>0.8214285714</v>
      </c>
      <c r="O43" s="11">
        <f>IFERROR(VLOOKUP(A43,'02_ประเมิน50ร้าน'!$A$2:$BR$51,66,FALSE),"")</f>
        <v>0.8928571429</v>
      </c>
      <c r="P43" s="11">
        <f>IFERROR(VLOOKUP(A43,'02_ประเมิน50ร้าน'!$A$2:$BR$51,67,FALSE),"")</f>
        <v>0.7142857143</v>
      </c>
      <c r="Q43" s="11">
        <f>IFERROR(VLOOKUP(A43,'02_ประเมิน50ร้าน'!$A$2:$BR$51,68,FALSE),"")</f>
        <v>0.6</v>
      </c>
      <c r="R43" s="11">
        <f>IFERROR(VLOOKUP(A43,'02_ประเมิน50ร้าน'!$A$2:$BR$51,69,FALSE),"")</f>
        <v>0.6875</v>
      </c>
      <c r="S43" s="8" t="str">
        <f t="shared" si="1"/>
        <v>ตรวจข้อคะแนน 0-1 และจัดทำแผน 7/30/90 วัน</v>
      </c>
      <c r="T43" s="8" t="str">
        <f>IFERROR(VLOOKUP(A43,'02_ประเมิน50ร้าน'!$A$2:$BR$51,71,FALSE),"")</f>
        <v/>
      </c>
    </row>
    <row r="44" ht="15.75" customHeight="1">
      <c r="A44" s="8" t="s">
        <v>315</v>
      </c>
      <c r="B44" s="8" t="str">
        <f>IFERROR(VLOOKUP(A44,'01_ข้อมูลร้าน'!$A$2:$C$51,2,FALSE),"")</f>
        <v>ร้านที่ 43</v>
      </c>
      <c r="C44" s="8" t="str">
        <f>IFERROR(VLOOKUP(A44,'01_ข้อมูลร้าน'!$A$2:$C$51,3,FALSE),"")</f>
        <v/>
      </c>
      <c r="D44" s="11">
        <f>IFERROR(VLOOKUP(A44,'02_ประเมิน50ร้าน'!$A$2:$BR$51,55,FALSE),"")</f>
        <v>0</v>
      </c>
      <c r="E44" s="8">
        <f>IFERROR(VLOOKUP(A44,'02_ประเมิน50ร้าน'!$A$2:$BR$51,56,FALSE),"")</f>
        <v>0</v>
      </c>
      <c r="F44" s="11">
        <f>IFERROR(VLOOKUP(A44,'02_ประเมิน50ร้าน'!$A$2:$BR$51,57,FALSE),"")</f>
        <v>0</v>
      </c>
      <c r="G44" s="11">
        <f>IFERROR(VLOOKUP(A44,'02_ประเมิน50ร้าน'!$A$2:$BR$51,58,FALSE),"")</f>
        <v>0</v>
      </c>
      <c r="H44" s="8">
        <f>IFERROR(VLOOKUP(A44,'02_ประเมิน50ร้าน'!$A$2:$BR$51,59,FALSE),"")</f>
        <v>0</v>
      </c>
      <c r="I44" s="8" t="str">
        <f>IFERROR(VLOOKUP(A44,'02_ประเมิน50ร้าน'!$A$2:$BR$51,60,FALSE),"")</f>
        <v>ยังไม่ประเมิน</v>
      </c>
      <c r="J44" s="8" t="str">
        <f>IFERROR(VLOOKUP(A44,'02_ประเมิน50ร้าน'!$A$2:$BR$51,61,FALSE),"")</f>
        <v>ยังไม่ประเมิน</v>
      </c>
      <c r="K44" s="11">
        <f>IFERROR(VLOOKUP(A44,'02_ประเมิน50ร้าน'!$A$2:$BR$51,62,FALSE),"")</f>
        <v>0</v>
      </c>
      <c r="L44" s="11">
        <f>IFERROR(VLOOKUP(A44,'02_ประเมิน50ร้าน'!$A$2:$BR$51,63,FALSE),"")</f>
        <v>0</v>
      </c>
      <c r="M44" s="11">
        <f>IFERROR(VLOOKUP(A44,'02_ประเมิน50ร้าน'!$A$2:$BR$51,64,FALSE),"")</f>
        <v>0</v>
      </c>
      <c r="N44" s="11">
        <f>IFERROR(VLOOKUP(A44,'02_ประเมิน50ร้าน'!$A$2:$BR$51,65,FALSE),"")</f>
        <v>0</v>
      </c>
      <c r="O44" s="11">
        <f>IFERROR(VLOOKUP(A44,'02_ประเมิน50ร้าน'!$A$2:$BR$51,66,FALSE),"")</f>
        <v>0</v>
      </c>
      <c r="P44" s="11">
        <f>IFERROR(VLOOKUP(A44,'02_ประเมิน50ร้าน'!$A$2:$BR$51,67,FALSE),"")</f>
        <v>0</v>
      </c>
      <c r="Q44" s="11">
        <f>IFERROR(VLOOKUP(A44,'02_ประเมิน50ร้าน'!$A$2:$BR$51,68,FALSE),"")</f>
        <v>0</v>
      </c>
      <c r="R44" s="11">
        <f>IFERROR(VLOOKUP(A44,'02_ประเมิน50ร้าน'!$A$2:$BR$51,69,FALSE),"")</f>
        <v>0</v>
      </c>
      <c r="S44" s="8" t="str">
        <f t="shared" si="1"/>
        <v>กรอกคะแนนประเมินก่อน</v>
      </c>
      <c r="T44" s="8" t="str">
        <f>IFERROR(VLOOKUP(A44,'02_ประเมิน50ร้าน'!$A$2:$BR$51,71,FALSE),"")</f>
        <v/>
      </c>
    </row>
    <row r="45" ht="15.75" customHeight="1">
      <c r="A45" s="8" t="s">
        <v>317</v>
      </c>
      <c r="B45" s="8" t="str">
        <f>IFERROR(VLOOKUP(A45,'01_ข้อมูลร้าน'!$A$2:$C$51,2,FALSE),"")</f>
        <v>ร้านที่ 44</v>
      </c>
      <c r="C45" s="8" t="str">
        <f>IFERROR(VLOOKUP(A45,'01_ข้อมูลร้าน'!$A$2:$C$51,3,FALSE),"")</f>
        <v/>
      </c>
      <c r="D45" s="11">
        <f>IFERROR(VLOOKUP(A45,'02_ประเมิน50ร้าน'!$A$2:$BR$51,55,FALSE),"")</f>
        <v>0</v>
      </c>
      <c r="E45" s="8">
        <f>IFERROR(VLOOKUP(A45,'02_ประเมิน50ร้าน'!$A$2:$BR$51,56,FALSE),"")</f>
        <v>0</v>
      </c>
      <c r="F45" s="11">
        <f>IFERROR(VLOOKUP(A45,'02_ประเมิน50ร้าน'!$A$2:$BR$51,57,FALSE),"")</f>
        <v>0</v>
      </c>
      <c r="G45" s="11">
        <f>IFERROR(VLOOKUP(A45,'02_ประเมิน50ร้าน'!$A$2:$BR$51,58,FALSE),"")</f>
        <v>0</v>
      </c>
      <c r="H45" s="8">
        <f>IFERROR(VLOOKUP(A45,'02_ประเมิน50ร้าน'!$A$2:$BR$51,59,FALSE),"")</f>
        <v>0</v>
      </c>
      <c r="I45" s="8" t="str">
        <f>IFERROR(VLOOKUP(A45,'02_ประเมิน50ร้าน'!$A$2:$BR$51,60,FALSE),"")</f>
        <v>ยังไม่ประเมิน</v>
      </c>
      <c r="J45" s="8" t="str">
        <f>IFERROR(VLOOKUP(A45,'02_ประเมิน50ร้าน'!$A$2:$BR$51,61,FALSE),"")</f>
        <v>ยังไม่ประเมิน</v>
      </c>
      <c r="K45" s="11">
        <f>IFERROR(VLOOKUP(A45,'02_ประเมิน50ร้าน'!$A$2:$BR$51,62,FALSE),"")</f>
        <v>0</v>
      </c>
      <c r="L45" s="11">
        <f>IFERROR(VLOOKUP(A45,'02_ประเมิน50ร้าน'!$A$2:$BR$51,63,FALSE),"")</f>
        <v>0</v>
      </c>
      <c r="M45" s="11">
        <f>IFERROR(VLOOKUP(A45,'02_ประเมิน50ร้าน'!$A$2:$BR$51,64,FALSE),"")</f>
        <v>0</v>
      </c>
      <c r="N45" s="11">
        <f>IFERROR(VLOOKUP(A45,'02_ประเมิน50ร้าน'!$A$2:$BR$51,65,FALSE),"")</f>
        <v>0</v>
      </c>
      <c r="O45" s="11">
        <f>IFERROR(VLOOKUP(A45,'02_ประเมิน50ร้าน'!$A$2:$BR$51,66,FALSE),"")</f>
        <v>0</v>
      </c>
      <c r="P45" s="11">
        <f>IFERROR(VLOOKUP(A45,'02_ประเมิน50ร้าน'!$A$2:$BR$51,67,FALSE),"")</f>
        <v>0</v>
      </c>
      <c r="Q45" s="11">
        <f>IFERROR(VLOOKUP(A45,'02_ประเมิน50ร้าน'!$A$2:$BR$51,68,FALSE),"")</f>
        <v>0</v>
      </c>
      <c r="R45" s="11">
        <f>IFERROR(VLOOKUP(A45,'02_ประเมิน50ร้าน'!$A$2:$BR$51,69,FALSE),"")</f>
        <v>0</v>
      </c>
      <c r="S45" s="8" t="str">
        <f t="shared" si="1"/>
        <v>กรอกคะแนนประเมินก่อน</v>
      </c>
      <c r="T45" s="8" t="str">
        <f>IFERROR(VLOOKUP(A45,'02_ประเมิน50ร้าน'!$A$2:$BR$51,71,FALSE),"")</f>
        <v/>
      </c>
    </row>
    <row r="46" ht="15.75" customHeight="1">
      <c r="A46" s="8" t="s">
        <v>319</v>
      </c>
      <c r="B46" s="8" t="str">
        <f>IFERROR(VLOOKUP(A46,'01_ข้อมูลร้าน'!$A$2:$C$51,2,FALSE),"")</f>
        <v>ร้านที่ 45</v>
      </c>
      <c r="C46" s="8" t="str">
        <f>IFERROR(VLOOKUP(A46,'01_ข้อมูลร้าน'!$A$2:$C$51,3,FALSE),"")</f>
        <v/>
      </c>
      <c r="D46" s="11">
        <f>IFERROR(VLOOKUP(A46,'02_ประเมิน50ร้าน'!$A$2:$BR$51,55,FALSE),"")</f>
        <v>0</v>
      </c>
      <c r="E46" s="8">
        <f>IFERROR(VLOOKUP(A46,'02_ประเมิน50ร้าน'!$A$2:$BR$51,56,FALSE),"")</f>
        <v>0</v>
      </c>
      <c r="F46" s="11">
        <f>IFERROR(VLOOKUP(A46,'02_ประเมิน50ร้าน'!$A$2:$BR$51,57,FALSE),"")</f>
        <v>0</v>
      </c>
      <c r="G46" s="11">
        <f>IFERROR(VLOOKUP(A46,'02_ประเมิน50ร้าน'!$A$2:$BR$51,58,FALSE),"")</f>
        <v>0</v>
      </c>
      <c r="H46" s="8">
        <f>IFERROR(VLOOKUP(A46,'02_ประเมิน50ร้าน'!$A$2:$BR$51,59,FALSE),"")</f>
        <v>0</v>
      </c>
      <c r="I46" s="8" t="str">
        <f>IFERROR(VLOOKUP(A46,'02_ประเมิน50ร้าน'!$A$2:$BR$51,60,FALSE),"")</f>
        <v>ยังไม่ประเมิน</v>
      </c>
      <c r="J46" s="8" t="str">
        <f>IFERROR(VLOOKUP(A46,'02_ประเมิน50ร้าน'!$A$2:$BR$51,61,FALSE),"")</f>
        <v>ยังไม่ประเมิน</v>
      </c>
      <c r="K46" s="11">
        <f>IFERROR(VLOOKUP(A46,'02_ประเมิน50ร้าน'!$A$2:$BR$51,62,FALSE),"")</f>
        <v>0</v>
      </c>
      <c r="L46" s="11">
        <f>IFERROR(VLOOKUP(A46,'02_ประเมิน50ร้าน'!$A$2:$BR$51,63,FALSE),"")</f>
        <v>0</v>
      </c>
      <c r="M46" s="11">
        <f>IFERROR(VLOOKUP(A46,'02_ประเมิน50ร้าน'!$A$2:$BR$51,64,FALSE),"")</f>
        <v>0</v>
      </c>
      <c r="N46" s="11">
        <f>IFERROR(VLOOKUP(A46,'02_ประเมิน50ร้าน'!$A$2:$BR$51,65,FALSE),"")</f>
        <v>0</v>
      </c>
      <c r="O46" s="11">
        <f>IFERROR(VLOOKUP(A46,'02_ประเมิน50ร้าน'!$A$2:$BR$51,66,FALSE),"")</f>
        <v>0</v>
      </c>
      <c r="P46" s="11">
        <f>IFERROR(VLOOKUP(A46,'02_ประเมิน50ร้าน'!$A$2:$BR$51,67,FALSE),"")</f>
        <v>0</v>
      </c>
      <c r="Q46" s="11">
        <f>IFERROR(VLOOKUP(A46,'02_ประเมิน50ร้าน'!$A$2:$BR$51,68,FALSE),"")</f>
        <v>0</v>
      </c>
      <c r="R46" s="11">
        <f>IFERROR(VLOOKUP(A46,'02_ประเมิน50ร้าน'!$A$2:$BR$51,69,FALSE),"")</f>
        <v>0</v>
      </c>
      <c r="S46" s="8" t="str">
        <f t="shared" si="1"/>
        <v>กรอกคะแนนประเมินก่อน</v>
      </c>
      <c r="T46" s="8" t="str">
        <f>IFERROR(VLOOKUP(A46,'02_ประเมิน50ร้าน'!$A$2:$BR$51,71,FALSE),"")</f>
        <v/>
      </c>
    </row>
    <row r="47" ht="15.75" customHeight="1">
      <c r="A47" s="8" t="s">
        <v>321</v>
      </c>
      <c r="B47" s="8" t="str">
        <f>IFERROR(VLOOKUP(A47,'01_ข้อมูลร้าน'!$A$2:$C$51,2,FALSE),"")</f>
        <v>ร้านที่ 46</v>
      </c>
      <c r="C47" s="8" t="str">
        <f>IFERROR(VLOOKUP(A47,'01_ข้อมูลร้าน'!$A$2:$C$51,3,FALSE),"")</f>
        <v/>
      </c>
      <c r="D47" s="11">
        <f>IFERROR(VLOOKUP(A47,'02_ประเมิน50ร้าน'!$A$2:$BR$51,55,FALSE),"")</f>
        <v>0</v>
      </c>
      <c r="E47" s="8">
        <f>IFERROR(VLOOKUP(A47,'02_ประเมิน50ร้าน'!$A$2:$BR$51,56,FALSE),"")</f>
        <v>0</v>
      </c>
      <c r="F47" s="11">
        <f>IFERROR(VLOOKUP(A47,'02_ประเมิน50ร้าน'!$A$2:$BR$51,57,FALSE),"")</f>
        <v>0</v>
      </c>
      <c r="G47" s="11">
        <f>IFERROR(VLOOKUP(A47,'02_ประเมิน50ร้าน'!$A$2:$BR$51,58,FALSE),"")</f>
        <v>0</v>
      </c>
      <c r="H47" s="8">
        <f>IFERROR(VLOOKUP(A47,'02_ประเมิน50ร้าน'!$A$2:$BR$51,59,FALSE),"")</f>
        <v>0</v>
      </c>
      <c r="I47" s="8" t="str">
        <f>IFERROR(VLOOKUP(A47,'02_ประเมิน50ร้าน'!$A$2:$BR$51,60,FALSE),"")</f>
        <v>ยังไม่ประเมิน</v>
      </c>
      <c r="J47" s="8" t="str">
        <f>IFERROR(VLOOKUP(A47,'02_ประเมิน50ร้าน'!$A$2:$BR$51,61,FALSE),"")</f>
        <v>ยังไม่ประเมิน</v>
      </c>
      <c r="K47" s="11">
        <f>IFERROR(VLOOKUP(A47,'02_ประเมิน50ร้าน'!$A$2:$BR$51,62,FALSE),"")</f>
        <v>0</v>
      </c>
      <c r="L47" s="11">
        <f>IFERROR(VLOOKUP(A47,'02_ประเมิน50ร้าน'!$A$2:$BR$51,63,FALSE),"")</f>
        <v>0</v>
      </c>
      <c r="M47" s="11">
        <f>IFERROR(VLOOKUP(A47,'02_ประเมิน50ร้าน'!$A$2:$BR$51,64,FALSE),"")</f>
        <v>0</v>
      </c>
      <c r="N47" s="11">
        <f>IFERROR(VLOOKUP(A47,'02_ประเมิน50ร้าน'!$A$2:$BR$51,65,FALSE),"")</f>
        <v>0</v>
      </c>
      <c r="O47" s="11">
        <f>IFERROR(VLOOKUP(A47,'02_ประเมิน50ร้าน'!$A$2:$BR$51,66,FALSE),"")</f>
        <v>0</v>
      </c>
      <c r="P47" s="11">
        <f>IFERROR(VLOOKUP(A47,'02_ประเมิน50ร้าน'!$A$2:$BR$51,67,FALSE),"")</f>
        <v>0</v>
      </c>
      <c r="Q47" s="11">
        <f>IFERROR(VLOOKUP(A47,'02_ประเมิน50ร้าน'!$A$2:$BR$51,68,FALSE),"")</f>
        <v>0</v>
      </c>
      <c r="R47" s="11">
        <f>IFERROR(VLOOKUP(A47,'02_ประเมิน50ร้าน'!$A$2:$BR$51,69,FALSE),"")</f>
        <v>0</v>
      </c>
      <c r="S47" s="8" t="str">
        <f t="shared" si="1"/>
        <v>กรอกคะแนนประเมินก่อน</v>
      </c>
      <c r="T47" s="8" t="str">
        <f>IFERROR(VLOOKUP(A47,'02_ประเมิน50ร้าน'!$A$2:$BR$51,71,FALSE),"")</f>
        <v/>
      </c>
    </row>
    <row r="48" ht="15.75" customHeight="1">
      <c r="A48" s="8" t="s">
        <v>323</v>
      </c>
      <c r="B48" s="8" t="str">
        <f>IFERROR(VLOOKUP(A48,'01_ข้อมูลร้าน'!$A$2:$C$51,2,FALSE),"")</f>
        <v>ร้านที่ 47</v>
      </c>
      <c r="C48" s="8" t="str">
        <f>IFERROR(VLOOKUP(A48,'01_ข้อมูลร้าน'!$A$2:$C$51,3,FALSE),"")</f>
        <v/>
      </c>
      <c r="D48" s="11">
        <f>IFERROR(VLOOKUP(A48,'02_ประเมิน50ร้าน'!$A$2:$BR$51,55,FALSE),"")</f>
        <v>0</v>
      </c>
      <c r="E48" s="8">
        <f>IFERROR(VLOOKUP(A48,'02_ประเมิน50ร้าน'!$A$2:$BR$51,56,FALSE),"")</f>
        <v>0</v>
      </c>
      <c r="F48" s="11">
        <f>IFERROR(VLOOKUP(A48,'02_ประเมิน50ร้าน'!$A$2:$BR$51,57,FALSE),"")</f>
        <v>0</v>
      </c>
      <c r="G48" s="11">
        <f>IFERROR(VLOOKUP(A48,'02_ประเมิน50ร้าน'!$A$2:$BR$51,58,FALSE),"")</f>
        <v>0</v>
      </c>
      <c r="H48" s="8">
        <f>IFERROR(VLOOKUP(A48,'02_ประเมิน50ร้าน'!$A$2:$BR$51,59,FALSE),"")</f>
        <v>0</v>
      </c>
      <c r="I48" s="8" t="str">
        <f>IFERROR(VLOOKUP(A48,'02_ประเมิน50ร้าน'!$A$2:$BR$51,60,FALSE),"")</f>
        <v>ยังไม่ประเมิน</v>
      </c>
      <c r="J48" s="8" t="str">
        <f>IFERROR(VLOOKUP(A48,'02_ประเมิน50ร้าน'!$A$2:$BR$51,61,FALSE),"")</f>
        <v>ยังไม่ประเมิน</v>
      </c>
      <c r="K48" s="11">
        <f>IFERROR(VLOOKUP(A48,'02_ประเมิน50ร้าน'!$A$2:$BR$51,62,FALSE),"")</f>
        <v>0</v>
      </c>
      <c r="L48" s="11">
        <f>IFERROR(VLOOKUP(A48,'02_ประเมิน50ร้าน'!$A$2:$BR$51,63,FALSE),"")</f>
        <v>0</v>
      </c>
      <c r="M48" s="11">
        <f>IFERROR(VLOOKUP(A48,'02_ประเมิน50ร้าน'!$A$2:$BR$51,64,FALSE),"")</f>
        <v>0</v>
      </c>
      <c r="N48" s="11">
        <f>IFERROR(VLOOKUP(A48,'02_ประเมิน50ร้าน'!$A$2:$BR$51,65,FALSE),"")</f>
        <v>0</v>
      </c>
      <c r="O48" s="11">
        <f>IFERROR(VLOOKUP(A48,'02_ประเมิน50ร้าน'!$A$2:$BR$51,66,FALSE),"")</f>
        <v>0</v>
      </c>
      <c r="P48" s="11">
        <f>IFERROR(VLOOKUP(A48,'02_ประเมิน50ร้าน'!$A$2:$BR$51,67,FALSE),"")</f>
        <v>0</v>
      </c>
      <c r="Q48" s="11">
        <f>IFERROR(VLOOKUP(A48,'02_ประเมิน50ร้าน'!$A$2:$BR$51,68,FALSE),"")</f>
        <v>0</v>
      </c>
      <c r="R48" s="11">
        <f>IFERROR(VLOOKUP(A48,'02_ประเมิน50ร้าน'!$A$2:$BR$51,69,FALSE),"")</f>
        <v>0</v>
      </c>
      <c r="S48" s="8" t="str">
        <f t="shared" si="1"/>
        <v>กรอกคะแนนประเมินก่อน</v>
      </c>
      <c r="T48" s="8" t="str">
        <f>IFERROR(VLOOKUP(A48,'02_ประเมิน50ร้าน'!$A$2:$BR$51,71,FALSE),"")</f>
        <v/>
      </c>
    </row>
    <row r="49" ht="15.75" customHeight="1">
      <c r="A49" s="8" t="s">
        <v>325</v>
      </c>
      <c r="B49" s="8" t="str">
        <f>IFERROR(VLOOKUP(A49,'01_ข้อมูลร้าน'!$A$2:$C$51,2,FALSE),"")</f>
        <v>ร้านที่ 48</v>
      </c>
      <c r="C49" s="8" t="str">
        <f>IFERROR(VLOOKUP(A49,'01_ข้อมูลร้าน'!$A$2:$C$51,3,FALSE),"")</f>
        <v/>
      </c>
      <c r="D49" s="11">
        <f>IFERROR(VLOOKUP(A49,'02_ประเมิน50ร้าน'!$A$2:$BR$51,55,FALSE),"")</f>
        <v>0</v>
      </c>
      <c r="E49" s="8">
        <f>IFERROR(VLOOKUP(A49,'02_ประเมิน50ร้าน'!$A$2:$BR$51,56,FALSE),"")</f>
        <v>0</v>
      </c>
      <c r="F49" s="11">
        <f>IFERROR(VLOOKUP(A49,'02_ประเมิน50ร้าน'!$A$2:$BR$51,57,FALSE),"")</f>
        <v>0</v>
      </c>
      <c r="G49" s="11">
        <f>IFERROR(VLOOKUP(A49,'02_ประเมิน50ร้าน'!$A$2:$BR$51,58,FALSE),"")</f>
        <v>0</v>
      </c>
      <c r="H49" s="8">
        <f>IFERROR(VLOOKUP(A49,'02_ประเมิน50ร้าน'!$A$2:$BR$51,59,FALSE),"")</f>
        <v>0</v>
      </c>
      <c r="I49" s="8" t="str">
        <f>IFERROR(VLOOKUP(A49,'02_ประเมิน50ร้าน'!$A$2:$BR$51,60,FALSE),"")</f>
        <v>ยังไม่ประเมิน</v>
      </c>
      <c r="J49" s="8" t="str">
        <f>IFERROR(VLOOKUP(A49,'02_ประเมิน50ร้าน'!$A$2:$BR$51,61,FALSE),"")</f>
        <v>ยังไม่ประเมิน</v>
      </c>
      <c r="K49" s="11">
        <f>IFERROR(VLOOKUP(A49,'02_ประเมิน50ร้าน'!$A$2:$BR$51,62,FALSE),"")</f>
        <v>0</v>
      </c>
      <c r="L49" s="11">
        <f>IFERROR(VLOOKUP(A49,'02_ประเมิน50ร้าน'!$A$2:$BR$51,63,FALSE),"")</f>
        <v>0</v>
      </c>
      <c r="M49" s="11">
        <f>IFERROR(VLOOKUP(A49,'02_ประเมิน50ร้าน'!$A$2:$BR$51,64,FALSE),"")</f>
        <v>0</v>
      </c>
      <c r="N49" s="11">
        <f>IFERROR(VLOOKUP(A49,'02_ประเมิน50ร้าน'!$A$2:$BR$51,65,FALSE),"")</f>
        <v>0</v>
      </c>
      <c r="O49" s="11">
        <f>IFERROR(VLOOKUP(A49,'02_ประเมิน50ร้าน'!$A$2:$BR$51,66,FALSE),"")</f>
        <v>0</v>
      </c>
      <c r="P49" s="11">
        <f>IFERROR(VLOOKUP(A49,'02_ประเมิน50ร้าน'!$A$2:$BR$51,67,FALSE),"")</f>
        <v>0</v>
      </c>
      <c r="Q49" s="11">
        <f>IFERROR(VLOOKUP(A49,'02_ประเมิน50ร้าน'!$A$2:$BR$51,68,FALSE),"")</f>
        <v>0</v>
      </c>
      <c r="R49" s="11">
        <f>IFERROR(VLOOKUP(A49,'02_ประเมิน50ร้าน'!$A$2:$BR$51,69,FALSE),"")</f>
        <v>0</v>
      </c>
      <c r="S49" s="8" t="str">
        <f t="shared" si="1"/>
        <v>กรอกคะแนนประเมินก่อน</v>
      </c>
      <c r="T49" s="8" t="str">
        <f>IFERROR(VLOOKUP(A49,'02_ประเมิน50ร้าน'!$A$2:$BR$51,71,FALSE),"")</f>
        <v/>
      </c>
    </row>
    <row r="50" ht="15.75" customHeight="1">
      <c r="A50" s="8" t="s">
        <v>328</v>
      </c>
      <c r="B50" s="8" t="str">
        <f>IFERROR(VLOOKUP(A50,'01_ข้อมูลร้าน'!$A$2:$C$51,2,FALSE),"")</f>
        <v>ร้านที่ 49</v>
      </c>
      <c r="C50" s="8" t="str">
        <f>IFERROR(VLOOKUP(A50,'01_ข้อมูลร้าน'!$A$2:$C$51,3,FALSE),"")</f>
        <v/>
      </c>
      <c r="D50" s="11">
        <f>IFERROR(VLOOKUP(A50,'02_ประเมิน50ร้าน'!$A$2:$BR$51,55,FALSE),"")</f>
        <v>0</v>
      </c>
      <c r="E50" s="8">
        <f>IFERROR(VLOOKUP(A50,'02_ประเมิน50ร้าน'!$A$2:$BR$51,56,FALSE),"")</f>
        <v>0</v>
      </c>
      <c r="F50" s="11">
        <f>IFERROR(VLOOKUP(A50,'02_ประเมิน50ร้าน'!$A$2:$BR$51,57,FALSE),"")</f>
        <v>0</v>
      </c>
      <c r="G50" s="11">
        <f>IFERROR(VLOOKUP(A50,'02_ประเมิน50ร้าน'!$A$2:$BR$51,58,FALSE),"")</f>
        <v>0</v>
      </c>
      <c r="H50" s="8">
        <f>IFERROR(VLOOKUP(A50,'02_ประเมิน50ร้าน'!$A$2:$BR$51,59,FALSE),"")</f>
        <v>0</v>
      </c>
      <c r="I50" s="8" t="str">
        <f>IFERROR(VLOOKUP(A50,'02_ประเมิน50ร้าน'!$A$2:$BR$51,60,FALSE),"")</f>
        <v>ยังไม่ประเมิน</v>
      </c>
      <c r="J50" s="8" t="str">
        <f>IFERROR(VLOOKUP(A50,'02_ประเมิน50ร้าน'!$A$2:$BR$51,61,FALSE),"")</f>
        <v>ยังไม่ประเมิน</v>
      </c>
      <c r="K50" s="11">
        <f>IFERROR(VLOOKUP(A50,'02_ประเมิน50ร้าน'!$A$2:$BR$51,62,FALSE),"")</f>
        <v>0</v>
      </c>
      <c r="L50" s="11">
        <f>IFERROR(VLOOKUP(A50,'02_ประเมิน50ร้าน'!$A$2:$BR$51,63,FALSE),"")</f>
        <v>0</v>
      </c>
      <c r="M50" s="11">
        <f>IFERROR(VLOOKUP(A50,'02_ประเมิน50ร้าน'!$A$2:$BR$51,64,FALSE),"")</f>
        <v>0</v>
      </c>
      <c r="N50" s="11">
        <f>IFERROR(VLOOKUP(A50,'02_ประเมิน50ร้าน'!$A$2:$BR$51,65,FALSE),"")</f>
        <v>0</v>
      </c>
      <c r="O50" s="11">
        <f>IFERROR(VLOOKUP(A50,'02_ประเมิน50ร้าน'!$A$2:$BR$51,66,FALSE),"")</f>
        <v>0</v>
      </c>
      <c r="P50" s="11">
        <f>IFERROR(VLOOKUP(A50,'02_ประเมิน50ร้าน'!$A$2:$BR$51,67,FALSE),"")</f>
        <v>0</v>
      </c>
      <c r="Q50" s="11">
        <f>IFERROR(VLOOKUP(A50,'02_ประเมิน50ร้าน'!$A$2:$BR$51,68,FALSE),"")</f>
        <v>0</v>
      </c>
      <c r="R50" s="11">
        <f>IFERROR(VLOOKUP(A50,'02_ประเมิน50ร้าน'!$A$2:$BR$51,69,FALSE),"")</f>
        <v>0</v>
      </c>
      <c r="S50" s="8" t="str">
        <f t="shared" si="1"/>
        <v>กรอกคะแนนประเมินก่อน</v>
      </c>
      <c r="T50" s="8" t="str">
        <f>IFERROR(VLOOKUP(A50,'02_ประเมิน50ร้าน'!$A$2:$BR$51,71,FALSE),"")</f>
        <v/>
      </c>
    </row>
    <row r="51" ht="15.75" customHeight="1">
      <c r="A51" s="8" t="s">
        <v>337</v>
      </c>
      <c r="B51" s="8" t="str">
        <f>IFERROR(VLOOKUP(A51,'01_ข้อมูลร้าน'!$A$2:$C$51,2,FALSE),"")</f>
        <v>ร้านที่ 50</v>
      </c>
      <c r="C51" s="8" t="str">
        <f>IFERROR(VLOOKUP(A51,'01_ข้อมูลร้าน'!$A$2:$C$51,3,FALSE),"")</f>
        <v/>
      </c>
      <c r="D51" s="11">
        <f>IFERROR(VLOOKUP(A51,'02_ประเมิน50ร้าน'!$A$2:$BR$51,55,FALSE),"")</f>
        <v>0</v>
      </c>
      <c r="E51" s="8">
        <f>IFERROR(VLOOKUP(A51,'02_ประเมิน50ร้าน'!$A$2:$BR$51,56,FALSE),"")</f>
        <v>0</v>
      </c>
      <c r="F51" s="11">
        <f>IFERROR(VLOOKUP(A51,'02_ประเมิน50ร้าน'!$A$2:$BR$51,57,FALSE),"")</f>
        <v>0</v>
      </c>
      <c r="G51" s="11">
        <f>IFERROR(VLOOKUP(A51,'02_ประเมิน50ร้าน'!$A$2:$BR$51,58,FALSE),"")</f>
        <v>0</v>
      </c>
      <c r="H51" s="8">
        <f>IFERROR(VLOOKUP(A51,'02_ประเมิน50ร้าน'!$A$2:$BR$51,59,FALSE),"")</f>
        <v>0</v>
      </c>
      <c r="I51" s="8" t="str">
        <f>IFERROR(VLOOKUP(A51,'02_ประเมิน50ร้าน'!$A$2:$BR$51,60,FALSE),"")</f>
        <v>ยังไม่ประเมิน</v>
      </c>
      <c r="J51" s="8" t="str">
        <f>IFERROR(VLOOKUP(A51,'02_ประเมิน50ร้าน'!$A$2:$BR$51,61,FALSE),"")</f>
        <v>ยังไม่ประเมิน</v>
      </c>
      <c r="K51" s="11">
        <f>IFERROR(VLOOKUP(A51,'02_ประเมิน50ร้าน'!$A$2:$BR$51,62,FALSE),"")</f>
        <v>0</v>
      </c>
      <c r="L51" s="11">
        <f>IFERROR(VLOOKUP(A51,'02_ประเมิน50ร้าน'!$A$2:$BR$51,63,FALSE),"")</f>
        <v>0</v>
      </c>
      <c r="M51" s="11">
        <f>IFERROR(VLOOKUP(A51,'02_ประเมิน50ร้าน'!$A$2:$BR$51,64,FALSE),"")</f>
        <v>0</v>
      </c>
      <c r="N51" s="11">
        <f>IFERROR(VLOOKUP(A51,'02_ประเมิน50ร้าน'!$A$2:$BR$51,65,FALSE),"")</f>
        <v>0</v>
      </c>
      <c r="O51" s="11">
        <f>IFERROR(VLOOKUP(A51,'02_ประเมิน50ร้าน'!$A$2:$BR$51,66,FALSE),"")</f>
        <v>0</v>
      </c>
      <c r="P51" s="11">
        <f>IFERROR(VLOOKUP(A51,'02_ประเมิน50ร้าน'!$A$2:$BR$51,67,FALSE),"")</f>
        <v>0</v>
      </c>
      <c r="Q51" s="11">
        <f>IFERROR(VLOOKUP(A51,'02_ประเมิน50ร้าน'!$A$2:$BR$51,68,FALSE),"")</f>
        <v>0</v>
      </c>
      <c r="R51" s="11">
        <f>IFERROR(VLOOKUP(A51,'02_ประเมิน50ร้าน'!$A$2:$BR$51,69,FALSE),"")</f>
        <v>0</v>
      </c>
      <c r="S51" s="8" t="str">
        <f t="shared" si="1"/>
        <v>กรอกคะแนนประเมินก่อน</v>
      </c>
      <c r="T51" s="8" t="str">
        <f>IFERROR(VLOOKUP(A51,'02_ประเมิน50ร้าน'!$A$2:$BR$51,71,FALSE),"")</f>
        <v/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G2:G51">
    <cfRule type="colorScale" priority="1">
      <colorScale>
        <cfvo type="formula" val="0"/>
        <cfvo type="formula" val="0.65"/>
        <cfvo type="formula" val="1"/>
        <color rgb="FFFEE2E2"/>
        <color rgb="FFFEF3C7"/>
        <color rgb="FFDCFCE7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8.0"/>
    <col customWidth="1" min="3" max="3" width="36.0"/>
    <col customWidth="1" min="4" max="5" width="18.0"/>
    <col customWidth="1" min="6" max="6" width="12.0"/>
    <col customWidth="1" min="7" max="26" width="8.86"/>
  </cols>
  <sheetData>
    <row r="1">
      <c r="A1" s="13" t="s">
        <v>186</v>
      </c>
      <c r="B1" s="14"/>
      <c r="C1" s="14"/>
      <c r="D1" s="14"/>
      <c r="E1" s="14"/>
      <c r="F1" s="14"/>
      <c r="G1" s="14"/>
      <c r="H1" s="15"/>
    </row>
    <row r="2">
      <c r="A2" s="2" t="s">
        <v>187</v>
      </c>
      <c r="B2" s="2" t="s">
        <v>188</v>
      </c>
      <c r="C2" s="2" t="s">
        <v>189</v>
      </c>
      <c r="D2" s="2"/>
      <c r="E2" s="2"/>
      <c r="F2" s="2"/>
      <c r="G2" s="2"/>
      <c r="H2" s="2"/>
    </row>
    <row r="3">
      <c r="A3" s="5" t="s">
        <v>191</v>
      </c>
      <c r="B3" s="8">
        <f>COUNTA('03_สรุปคะแนน'!$A$2:$A$51)</f>
        <v>50</v>
      </c>
      <c r="C3" s="8" t="s">
        <v>193</v>
      </c>
      <c r="D3" s="8"/>
      <c r="E3" s="8"/>
      <c r="F3" s="8"/>
      <c r="G3" s="8"/>
      <c r="H3" s="8"/>
    </row>
    <row r="4">
      <c r="A4" s="5" t="s">
        <v>194</v>
      </c>
      <c r="B4" s="8">
        <f>COUNTIF('03_สรุปคะแนน'!$D$2:$D$51,1)</f>
        <v>39</v>
      </c>
      <c r="C4" s="8" t="s">
        <v>195</v>
      </c>
      <c r="D4" s="8"/>
      <c r="E4" s="8"/>
      <c r="F4" s="8"/>
      <c r="G4" s="8"/>
      <c r="H4" s="8"/>
    </row>
    <row r="5">
      <c r="A5" s="5" t="s">
        <v>198</v>
      </c>
      <c r="B5" s="11">
        <f>AVERAGEIF('03_สรุปคะแนน'!$D$2:$D$51,"&gt;0",'03_สรุปคะแนน'!$G$2:$G$51)</f>
        <v>0.6389077381</v>
      </c>
      <c r="C5" s="8" t="s">
        <v>202</v>
      </c>
      <c r="D5" s="8"/>
      <c r="E5" s="8"/>
      <c r="F5" s="8"/>
      <c r="G5" s="8"/>
      <c r="H5" s="8"/>
    </row>
    <row r="6">
      <c r="A6" s="5" t="s">
        <v>205</v>
      </c>
      <c r="B6" s="8">
        <f>SUM('03_สรุปคะแนน'!$H$2:$H$51)</f>
        <v>358</v>
      </c>
      <c r="C6" s="8" t="s">
        <v>207</v>
      </c>
      <c r="D6" s="8"/>
      <c r="E6" s="8"/>
      <c r="F6" s="8"/>
      <c r="G6" s="8"/>
      <c r="H6" s="8"/>
    </row>
    <row r="7">
      <c r="A7" s="5" t="s">
        <v>208</v>
      </c>
      <c r="B7" s="8">
        <f>COUNTIF('03_สรุปคะแนน'!$I$2:$I$51,"เร่งแก้ไข")</f>
        <v>9</v>
      </c>
      <c r="C7" s="8" t="s">
        <v>212</v>
      </c>
      <c r="D7" s="8"/>
      <c r="E7" s="8"/>
      <c r="F7" s="8"/>
      <c r="G7" s="8"/>
      <c r="H7" s="8"/>
    </row>
    <row r="8">
      <c r="A8" s="8"/>
      <c r="B8" s="8"/>
      <c r="C8" s="8"/>
      <c r="D8" s="8"/>
      <c r="E8" s="8"/>
      <c r="F8" s="8"/>
      <c r="G8" s="8"/>
      <c r="H8" s="8"/>
    </row>
    <row r="9">
      <c r="A9" s="2" t="s">
        <v>215</v>
      </c>
      <c r="B9" s="2" t="s">
        <v>216</v>
      </c>
      <c r="C9" s="2" t="s">
        <v>217</v>
      </c>
      <c r="D9" s="2" t="s">
        <v>218</v>
      </c>
      <c r="E9" s="2" t="s">
        <v>219</v>
      </c>
      <c r="F9" s="2"/>
      <c r="G9" s="2"/>
      <c r="H9" s="2"/>
    </row>
    <row r="10">
      <c r="A10" s="8">
        <v>1.0</v>
      </c>
      <c r="B10" s="8" t="s">
        <v>222</v>
      </c>
      <c r="C10" s="11">
        <f>AVERAGE('03_สรุปคะแนน'!K$2:K$51)</f>
        <v>0.5078571429</v>
      </c>
      <c r="D10" s="16">
        <v>0.12</v>
      </c>
      <c r="E10" s="8">
        <v>7.0</v>
      </c>
      <c r="F10" s="8"/>
      <c r="G10" s="8"/>
      <c r="H10" s="8"/>
    </row>
    <row r="11">
      <c r="A11" s="8">
        <v>2.0</v>
      </c>
      <c r="B11" s="8" t="s">
        <v>226</v>
      </c>
      <c r="C11" s="11">
        <f>AVERAGE('03_สรุปคะแนน'!L$2:L$51)</f>
        <v>0.4885714286</v>
      </c>
      <c r="D11" s="16">
        <v>0.15</v>
      </c>
      <c r="E11" s="8">
        <v>7.0</v>
      </c>
      <c r="F11" s="8"/>
      <c r="G11" s="8"/>
      <c r="H11" s="8"/>
    </row>
    <row r="12">
      <c r="A12" s="8">
        <v>3.0</v>
      </c>
      <c r="B12" s="8" t="s">
        <v>227</v>
      </c>
      <c r="C12" s="11">
        <f>AVERAGE('03_สรุปคะแนน'!M$2:M$51)</f>
        <v>0.5183333333</v>
      </c>
      <c r="D12" s="16">
        <v>0.1</v>
      </c>
      <c r="E12" s="8">
        <v>6.0</v>
      </c>
      <c r="F12" s="8"/>
      <c r="G12" s="8"/>
      <c r="H12" s="8"/>
    </row>
    <row r="13">
      <c r="A13" s="8">
        <v>4.0</v>
      </c>
      <c r="B13" s="8" t="s">
        <v>228</v>
      </c>
      <c r="C13" s="11">
        <f>AVERAGE('03_สรุปคะแนน'!N$2:N$51)</f>
        <v>0.49</v>
      </c>
      <c r="D13" s="16">
        <v>0.13</v>
      </c>
      <c r="E13" s="8">
        <v>7.0</v>
      </c>
      <c r="F13" s="8"/>
      <c r="G13" s="8"/>
      <c r="H13" s="8"/>
    </row>
    <row r="14">
      <c r="A14" s="8">
        <v>5.0</v>
      </c>
      <c r="B14" s="8" t="s">
        <v>231</v>
      </c>
      <c r="C14" s="11">
        <f>AVERAGE('03_สรุปคะแนน'!O$2:O$51)</f>
        <v>0.5028571429</v>
      </c>
      <c r="D14" s="16">
        <v>0.2</v>
      </c>
      <c r="E14" s="8">
        <v>7.0</v>
      </c>
      <c r="F14" s="8"/>
      <c r="G14" s="8"/>
      <c r="H14" s="8"/>
    </row>
    <row r="15">
      <c r="A15" s="8">
        <v>6.0</v>
      </c>
      <c r="B15" s="8" t="s">
        <v>232</v>
      </c>
      <c r="C15" s="11">
        <f>AVERAGE('03_สรุปคะแนน'!P$2:P$51)</f>
        <v>0.5035714286</v>
      </c>
      <c r="D15" s="16">
        <v>0.18</v>
      </c>
      <c r="E15" s="8">
        <v>7.0</v>
      </c>
      <c r="F15" s="8"/>
      <c r="G15" s="8"/>
      <c r="H15" s="8"/>
    </row>
    <row r="16">
      <c r="A16" s="8">
        <v>7.0</v>
      </c>
      <c r="B16" s="8" t="s">
        <v>238</v>
      </c>
      <c r="C16" s="11">
        <f>AVERAGE('03_สรุปคะแนน'!Q$2:Q$51)</f>
        <v>0.535</v>
      </c>
      <c r="D16" s="16">
        <v>0.05</v>
      </c>
      <c r="E16" s="8">
        <v>5.0</v>
      </c>
      <c r="F16" s="8"/>
      <c r="G16" s="8"/>
      <c r="H16" s="8"/>
    </row>
    <row r="17">
      <c r="A17" s="8">
        <v>8.0</v>
      </c>
      <c r="B17" s="8" t="s">
        <v>244</v>
      </c>
      <c r="C17" s="11">
        <f>AVERAGE('03_สรุปคะแนน'!R$2:R$51)</f>
        <v>0.62</v>
      </c>
      <c r="D17" s="16">
        <v>0.07</v>
      </c>
      <c r="E17" s="8">
        <v>4.0</v>
      </c>
      <c r="F17" s="8"/>
      <c r="G17" s="8"/>
      <c r="H17" s="8"/>
    </row>
    <row r="18">
      <c r="A18" s="8"/>
      <c r="B18" s="8"/>
      <c r="C18" s="8"/>
      <c r="D18" s="8"/>
      <c r="E18" s="8"/>
      <c r="F18" s="8"/>
      <c r="G18" s="8"/>
      <c r="H18" s="8"/>
    </row>
    <row r="19">
      <c r="A19" s="2" t="s">
        <v>249</v>
      </c>
      <c r="B19" s="2" t="s">
        <v>1</v>
      </c>
      <c r="C19" s="2" t="s">
        <v>2</v>
      </c>
      <c r="D19" s="2" t="s">
        <v>13</v>
      </c>
      <c r="E19" s="2" t="s">
        <v>27</v>
      </c>
      <c r="F19" s="2" t="s">
        <v>16</v>
      </c>
      <c r="G19" s="2"/>
      <c r="H19" s="2"/>
    </row>
    <row r="20">
      <c r="A20" s="8">
        <v>1.0</v>
      </c>
      <c r="B20" s="8" t="str">
        <f t="array" ref="B20">IFERROR(INDEX('03_สรุปคะแนน'!$A$2:$A$51,MATCH(LARGE('03_สรุปคะแนน'!$G$2:$G$51,A20),'03_สรุปคะแนน'!$G$2:$G$51,0)),"")</f>
        <v>RAP69-022</v>
      </c>
      <c r="C20" s="8" t="str">
        <f>IFERROR(VLOOKUP(B20,'03_สรุปคะแนน'!$A$2:$I$51,2,FALSE),"")</f>
        <v>หมึกสดริมเล</v>
      </c>
      <c r="D20" s="8">
        <f>IFERROR(VLOOKUP(B20,'03_สรุปคะแนน'!$A$2:$I$51,7,FALSE),"")</f>
        <v>0.925625</v>
      </c>
      <c r="E20" s="8" t="str">
        <f>IFERROR(VLOOKUP(B20,'03_สรุปคะแนน'!$A$2:$I$51,9,FALSE),"")</f>
        <v>ดีมาก</v>
      </c>
      <c r="F20" s="8">
        <f>IFERROR(VLOOKUP(B20,'03_สรุปคะแนน'!$A$2:$I$51,8,FALSE),"")</f>
        <v>2</v>
      </c>
      <c r="G20" s="8"/>
      <c r="H20" s="8"/>
    </row>
    <row r="21" ht="15.75" customHeight="1">
      <c r="A21" s="8">
        <v>2.0</v>
      </c>
      <c r="B21" s="8" t="str">
        <f t="array" ref="B21">IFERROR(INDEX('03_สรุปคะแนน'!$A$2:$A$51,MATCH(LARGE('03_สรุปคะแนน'!$G$2:$G$51,A21),'03_สรุปคะแนน'!$G$2:$G$51,0)),"")</f>
        <v>RAP69-037</v>
      </c>
      <c r="C21" s="8" t="str">
        <f>IFERROR(VLOOKUP(B21,'03_สรุปคะแนน'!$A$2:$I$51,2,FALSE),"")</f>
        <v>จันทรโภชนา</v>
      </c>
      <c r="D21" s="8">
        <f>IFERROR(VLOOKUP(B21,'03_สรุปคะแนน'!$A$2:$I$51,7,FALSE),"")</f>
        <v>0.8874107143</v>
      </c>
      <c r="E21" s="8" t="str">
        <f>IFERROR(VLOOKUP(B21,'03_สรุปคะแนน'!$A$2:$I$51,9,FALSE),"")</f>
        <v>ดีมาก</v>
      </c>
      <c r="F21" s="8">
        <f>IFERROR(VLOOKUP(B21,'03_สรุปคะแนน'!$A$2:$I$51,8,FALSE),"")</f>
        <v>0</v>
      </c>
      <c r="G21" s="8"/>
      <c r="H21" s="8"/>
    </row>
    <row r="22" ht="15.75" customHeight="1">
      <c r="A22" s="8">
        <v>3.0</v>
      </c>
      <c r="B22" s="8" t="str">
        <f t="array" ref="B22">IFERROR(INDEX('03_สรุปคะแนน'!$A$2:$A$51,MATCH(LARGE('03_สรุปคะแนน'!$G$2:$G$51,A22),'03_สรุปคะแนน'!$G$2:$G$51,0)),"")</f>
        <v>RAP69-006</v>
      </c>
      <c r="C22" s="8" t="str">
        <f>IFERROR(VLOOKUP(B22,'03_สรุปคะแนน'!$A$2:$I$51,2,FALSE),"")</f>
        <v>ร้านอีสานเฮาส์ (304 ปราจีนบุรี)</v>
      </c>
      <c r="D22" s="8">
        <f>IFERROR(VLOOKUP(B22,'03_สรุปคะแนน'!$A$2:$I$51,7,FALSE),"")</f>
        <v>0.8710714286</v>
      </c>
      <c r="E22" s="8" t="str">
        <f>IFERROR(VLOOKUP(B22,'03_สรุปคะแนน'!$A$2:$I$51,9,FALSE),"")</f>
        <v>ดีมาก</v>
      </c>
      <c r="F22" s="8">
        <f>IFERROR(VLOOKUP(B22,'03_สรุปคะแนน'!$A$2:$I$51,8,FALSE),"")</f>
        <v>2</v>
      </c>
      <c r="G22" s="8"/>
      <c r="H22" s="8"/>
    </row>
    <row r="23" ht="15.75" customHeight="1">
      <c r="A23" s="8">
        <v>4.0</v>
      </c>
      <c r="B23" s="8" t="str">
        <f t="array" ref="B23">IFERROR(INDEX('03_สรุปคะแนน'!$A$2:$A$51,MATCH(LARGE('03_สรุปคะแนน'!$G$2:$G$51,A23),'03_สรุปคะแนน'!$G$2:$G$51,0)),"")</f>
        <v>RAP69-036</v>
      </c>
      <c r="C23" s="8" t="str">
        <f>IFERROR(VLOOKUP(B23,'03_สรุปคะแนน'!$A$2:$I$51,2,FALSE),"")</f>
        <v>Garagecafechan</v>
      </c>
      <c r="D23" s="8">
        <f>IFERROR(VLOOKUP(B23,'03_สรุปคะแนน'!$A$2:$I$51,7,FALSE),"")</f>
        <v>0.820952381</v>
      </c>
      <c r="E23" s="8" t="str">
        <f>IFERROR(VLOOKUP(B23,'03_สรุปคะแนน'!$A$2:$I$51,9,FALSE),"")</f>
        <v>ดีมาก</v>
      </c>
      <c r="F23" s="8">
        <f>IFERROR(VLOOKUP(B23,'03_สรุปคะแนน'!$A$2:$I$51,8,FALSE),"")</f>
        <v>2</v>
      </c>
      <c r="G23" s="8"/>
      <c r="H23" s="8"/>
    </row>
    <row r="24" ht="15.75" customHeight="1">
      <c r="A24" s="8">
        <v>5.0</v>
      </c>
      <c r="B24" s="8" t="str">
        <f t="array" ref="B24">IFERROR(INDEX('03_สรุปคะแนน'!$A$2:$A$51,MATCH(LARGE('03_สรุปคะแนน'!$G$2:$G$51,A24),'03_สรุปคะแนน'!$G$2:$G$51,0)),"")</f>
        <v>RAP69-040</v>
      </c>
      <c r="C24" s="8" t="str">
        <f>IFERROR(VLOOKUP(B24,'03_สรุปคะแนน'!$A$2:$I$51,2,FALSE),"")</f>
        <v>จิน ข้าวมันไก่สไตล์สิงคโปร์</v>
      </c>
      <c r="D24" s="8">
        <f>IFERROR(VLOOKUP(B24,'03_สรุปคะแนน'!$A$2:$I$51,7,FALSE),"")</f>
        <v>0.8058630952</v>
      </c>
      <c r="E24" s="8" t="str">
        <f>IFERROR(VLOOKUP(B24,'03_สรุปคะแนน'!$A$2:$I$51,9,FALSE),"")</f>
        <v>ดีมาก</v>
      </c>
      <c r="F24" s="8">
        <f>IFERROR(VLOOKUP(B24,'03_สรุปคะแนน'!$A$2:$I$51,8,FALSE),"")</f>
        <v>4</v>
      </c>
      <c r="G24" s="8"/>
      <c r="H24" s="8"/>
    </row>
    <row r="25" ht="15.75" customHeight="1">
      <c r="A25" s="8">
        <v>6.0</v>
      </c>
      <c r="B25" s="8" t="str">
        <f t="array" ref="B25">IFERROR(INDEX('03_สรุปคะแนน'!$A$2:$A$51,MATCH(LARGE('03_สรุปคะแนน'!$G$2:$G$51,A25),'03_สรุปคะแนน'!$G$2:$G$51,0)),"")</f>
        <v>RAP69-032</v>
      </c>
      <c r="C25" s="8" t="str">
        <f>IFERROR(VLOOKUP(B25,'03_สรุปคะแนน'!$A$2:$I$51,2,FALSE),"")</f>
        <v>ร้านคดข้าว</v>
      </c>
      <c r="D25" s="8">
        <f>IFERROR(VLOOKUP(B25,'03_สรุปคะแนน'!$A$2:$I$51,7,FALSE),"")</f>
        <v>0.8050595238</v>
      </c>
      <c r="E25" s="8" t="str">
        <f>IFERROR(VLOOKUP(B25,'03_สรุปคะแนน'!$A$2:$I$51,9,FALSE),"")</f>
        <v>ดีมาก</v>
      </c>
      <c r="F25" s="8">
        <f>IFERROR(VLOOKUP(B25,'03_สรุปคะแนน'!$A$2:$I$51,8,FALSE),"")</f>
        <v>1</v>
      </c>
      <c r="G25" s="8"/>
      <c r="H25" s="8"/>
    </row>
    <row r="26" ht="15.75" customHeight="1">
      <c r="A26" s="8">
        <v>7.0</v>
      </c>
      <c r="B26" s="8" t="str">
        <f t="array" ref="B26">IFERROR(INDEX('03_สรุปคะแนน'!$A$2:$A$51,MATCH(LARGE('03_สรุปคะแนน'!$G$2:$G$51,A26),'03_สรุปคะแนน'!$G$2:$G$51,0)),"")</f>
        <v>RAP69-023</v>
      </c>
      <c r="C26" s="8" t="str">
        <f>IFERROR(VLOOKUP(B26,'03_สรุปคะแนน'!$A$2:$I$51,2,FALSE),"")</f>
        <v>บ้านแมะคาเฟ่</v>
      </c>
      <c r="D26" s="8">
        <f>IFERROR(VLOOKUP(B26,'03_สรุปคะแนน'!$A$2:$I$51,7,FALSE),"")</f>
        <v>0.7957738095</v>
      </c>
      <c r="E26" s="8" t="str">
        <f>IFERROR(VLOOKUP(B26,'03_สรุปคะแนน'!$A$2:$I$51,9,FALSE),"")</f>
        <v>ดี</v>
      </c>
      <c r="F26" s="8">
        <f>IFERROR(VLOOKUP(B26,'03_สรุปคะแนน'!$A$2:$I$51,8,FALSE),"")</f>
        <v>3</v>
      </c>
      <c r="G26" s="8"/>
      <c r="H26" s="8"/>
    </row>
    <row r="27" ht="15.75" customHeight="1">
      <c r="A27" s="8">
        <v>8.0</v>
      </c>
      <c r="B27" s="8" t="str">
        <f t="array" ref="B27">IFERROR(INDEX('03_สรุปคะแนน'!$A$2:$A$51,MATCH(LARGE('03_สรุปคะแนน'!$G$2:$G$51,A27),'03_สรุปคะแนน'!$G$2:$G$51,0)),"")</f>
        <v>RAP69-027</v>
      </c>
      <c r="C27" s="8" t="str">
        <f>IFERROR(VLOOKUP(B27,'03_สรุปคะแนน'!$A$2:$I$51,2,FALSE),"")</f>
        <v>Chatrium Golf Resort Soidao</v>
      </c>
      <c r="D27" s="8">
        <f>IFERROR(VLOOKUP(B27,'03_สรุปคะแนน'!$A$2:$I$51,7,FALSE),"")</f>
        <v>0.7947321429</v>
      </c>
      <c r="E27" s="8" t="str">
        <f>IFERROR(VLOOKUP(B27,'03_สรุปคะแนน'!$A$2:$I$51,9,FALSE),"")</f>
        <v>ดี</v>
      </c>
      <c r="F27" s="8">
        <f>IFERROR(VLOOKUP(B27,'03_สรุปคะแนน'!$A$2:$I$51,8,FALSE),"")</f>
        <v>1</v>
      </c>
      <c r="G27" s="8"/>
      <c r="H27" s="8"/>
    </row>
    <row r="28" ht="15.75" customHeight="1">
      <c r="A28" s="8">
        <v>9.0</v>
      </c>
      <c r="B28" s="8" t="str">
        <f t="array" ref="B28">IFERROR(INDEX('03_สรุปคะแนน'!$A$2:$A$51,MATCH(LARGE('03_สรุปคะแนน'!$G$2:$G$51,A28),'03_สรุปคะแนน'!$G$2:$G$51,0)),"")</f>
        <v>RAP69-004</v>
      </c>
      <c r="C28" s="8" t="str">
        <f>IFERROR(VLOOKUP(B28,'03_สรุปคะแนน'!$A$2:$I$51,2,FALSE),"")</f>
        <v> แฟรนไชส์ก๋วยเตี๋ยวปากหม้อแม่ว่าดี </v>
      </c>
      <c r="D28" s="8">
        <f>IFERROR(VLOOKUP(B28,'03_สรุปคะแนน'!$A$2:$I$51,7,FALSE),"")</f>
        <v>0.7926488095</v>
      </c>
      <c r="E28" s="8" t="str">
        <f>IFERROR(VLOOKUP(B28,'03_สรุปคะแนน'!$A$2:$I$51,9,FALSE),"")</f>
        <v>ดี</v>
      </c>
      <c r="F28" s="8">
        <f>IFERROR(VLOOKUP(B28,'03_สรุปคะแนน'!$A$2:$I$51,8,FALSE),"")</f>
        <v>3</v>
      </c>
      <c r="G28" s="8"/>
      <c r="H28" s="8"/>
    </row>
    <row r="29" ht="15.75" customHeight="1">
      <c r="A29" s="8">
        <v>10.0</v>
      </c>
      <c r="B29" s="8" t="str">
        <f t="array" ref="B29">IFERROR(INDEX('03_สรุปคะแนน'!$A$2:$A$51,MATCH(LARGE('03_สรุปคะแนน'!$G$2:$G$51,A29),'03_สรุปคะแนน'!$G$2:$G$51,0)),"")</f>
        <v>RAP69-007</v>
      </c>
      <c r="C29" s="8" t="str">
        <f>IFERROR(VLOOKUP(B29,'03_สรุปคะแนน'!$A$2:$I$51,2,FALSE),"")</f>
        <v>ร้านคำนิยม</v>
      </c>
      <c r="D29" s="8">
        <f>IFERROR(VLOOKUP(B29,'03_สรุปคะแนน'!$A$2:$I$51,7,FALSE),"")</f>
        <v>0.7827380952</v>
      </c>
      <c r="E29" s="8" t="str">
        <f>IFERROR(VLOOKUP(B29,'03_สรุปคะแนน'!$A$2:$I$51,9,FALSE),"")</f>
        <v>ดี</v>
      </c>
      <c r="F29" s="8">
        <f>IFERROR(VLOOKUP(B29,'03_สรุปคะแนน'!$A$2:$I$51,8,FALSE),"")</f>
        <v>3</v>
      </c>
      <c r="G29" s="8"/>
      <c r="H29" s="8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0"/>
    <col customWidth="1" min="3" max="3" width="32.0"/>
    <col customWidth="1" min="4" max="6" width="12.0"/>
    <col customWidth="1" min="7" max="7" width="55.0"/>
    <col customWidth="1" min="8" max="8" width="45.0"/>
    <col customWidth="1" min="9" max="26" width="8.86"/>
  </cols>
  <sheetData>
    <row r="1">
      <c r="A1" s="2" t="s">
        <v>327</v>
      </c>
      <c r="B1" s="2" t="s">
        <v>215</v>
      </c>
      <c r="C1" s="2" t="s">
        <v>216</v>
      </c>
      <c r="D1" s="2" t="s">
        <v>218</v>
      </c>
      <c r="E1" s="2" t="s">
        <v>219</v>
      </c>
      <c r="F1" s="2" t="s">
        <v>330</v>
      </c>
      <c r="G1" s="2" t="s">
        <v>331</v>
      </c>
      <c r="H1" s="2" t="s">
        <v>332</v>
      </c>
    </row>
    <row r="2">
      <c r="A2" s="8">
        <v>1.0</v>
      </c>
      <c r="B2" s="8">
        <v>1.0</v>
      </c>
      <c r="C2" s="8" t="s">
        <v>222</v>
      </c>
      <c r="D2" s="16">
        <v>0.12</v>
      </c>
      <c r="E2" s="8">
        <v>7.0</v>
      </c>
      <c r="F2" s="8">
        <v>28.0</v>
      </c>
      <c r="G2" s="8" t="s">
        <v>333</v>
      </c>
      <c r="H2" s="8" t="s">
        <v>334</v>
      </c>
    </row>
    <row r="3">
      <c r="A3" s="8">
        <v>2.0</v>
      </c>
      <c r="B3" s="8">
        <v>1.0</v>
      </c>
      <c r="C3" s="8" t="s">
        <v>222</v>
      </c>
      <c r="D3" s="16">
        <v>0.12</v>
      </c>
      <c r="E3" s="8">
        <v>7.0</v>
      </c>
      <c r="F3" s="8">
        <v>28.0</v>
      </c>
      <c r="G3" s="8" t="s">
        <v>335</v>
      </c>
      <c r="H3" s="8" t="s">
        <v>336</v>
      </c>
    </row>
    <row r="4">
      <c r="A4" s="8">
        <v>3.0</v>
      </c>
      <c r="B4" s="8">
        <v>1.0</v>
      </c>
      <c r="C4" s="8" t="s">
        <v>222</v>
      </c>
      <c r="D4" s="16">
        <v>0.12</v>
      </c>
      <c r="E4" s="8">
        <v>7.0</v>
      </c>
      <c r="F4" s="8">
        <v>28.0</v>
      </c>
      <c r="G4" s="8" t="s">
        <v>339</v>
      </c>
      <c r="H4" s="8" t="s">
        <v>340</v>
      </c>
    </row>
    <row r="5">
      <c r="A5" s="8">
        <v>4.0</v>
      </c>
      <c r="B5" s="8">
        <v>1.0</v>
      </c>
      <c r="C5" s="8" t="s">
        <v>222</v>
      </c>
      <c r="D5" s="16">
        <v>0.12</v>
      </c>
      <c r="E5" s="8">
        <v>7.0</v>
      </c>
      <c r="F5" s="8">
        <v>28.0</v>
      </c>
      <c r="G5" s="8" t="s">
        <v>341</v>
      </c>
      <c r="H5" s="8" t="s">
        <v>342</v>
      </c>
    </row>
    <row r="6">
      <c r="A6" s="8">
        <v>5.0</v>
      </c>
      <c r="B6" s="8">
        <v>1.0</v>
      </c>
      <c r="C6" s="8" t="s">
        <v>222</v>
      </c>
      <c r="D6" s="16">
        <v>0.12</v>
      </c>
      <c r="E6" s="8">
        <v>7.0</v>
      </c>
      <c r="F6" s="8">
        <v>28.0</v>
      </c>
      <c r="G6" s="8" t="s">
        <v>343</v>
      </c>
      <c r="H6" s="8" t="s">
        <v>344</v>
      </c>
    </row>
    <row r="7">
      <c r="A7" s="8">
        <v>6.0</v>
      </c>
      <c r="B7" s="8">
        <v>1.0</v>
      </c>
      <c r="C7" s="8" t="s">
        <v>222</v>
      </c>
      <c r="D7" s="16">
        <v>0.12</v>
      </c>
      <c r="E7" s="8">
        <v>7.0</v>
      </c>
      <c r="F7" s="8">
        <v>28.0</v>
      </c>
      <c r="G7" s="8" t="s">
        <v>345</v>
      </c>
      <c r="H7" s="8" t="s">
        <v>346</v>
      </c>
    </row>
    <row r="8">
      <c r="A8" s="8">
        <v>7.0</v>
      </c>
      <c r="B8" s="8">
        <v>1.0</v>
      </c>
      <c r="C8" s="8" t="s">
        <v>222</v>
      </c>
      <c r="D8" s="16">
        <v>0.12</v>
      </c>
      <c r="E8" s="8">
        <v>7.0</v>
      </c>
      <c r="F8" s="8">
        <v>28.0</v>
      </c>
      <c r="G8" s="8" t="s">
        <v>347</v>
      </c>
      <c r="H8" s="8" t="s">
        <v>348</v>
      </c>
    </row>
    <row r="9">
      <c r="A9" s="8">
        <v>8.0</v>
      </c>
      <c r="B9" s="8">
        <v>2.0</v>
      </c>
      <c r="C9" s="8" t="s">
        <v>226</v>
      </c>
      <c r="D9" s="16">
        <v>0.15</v>
      </c>
      <c r="E9" s="8">
        <v>7.0</v>
      </c>
      <c r="F9" s="8">
        <v>28.0</v>
      </c>
      <c r="G9" s="8" t="s">
        <v>349</v>
      </c>
      <c r="H9" s="8" t="s">
        <v>350</v>
      </c>
    </row>
    <row r="10">
      <c r="A10" s="8">
        <v>9.0</v>
      </c>
      <c r="B10" s="8">
        <v>2.0</v>
      </c>
      <c r="C10" s="8" t="s">
        <v>226</v>
      </c>
      <c r="D10" s="16">
        <v>0.15</v>
      </c>
      <c r="E10" s="8">
        <v>7.0</v>
      </c>
      <c r="F10" s="8">
        <v>28.0</v>
      </c>
      <c r="G10" s="8" t="s">
        <v>351</v>
      </c>
      <c r="H10" s="8" t="s">
        <v>352</v>
      </c>
    </row>
    <row r="11">
      <c r="A11" s="8">
        <v>10.0</v>
      </c>
      <c r="B11" s="8">
        <v>2.0</v>
      </c>
      <c r="C11" s="8" t="s">
        <v>226</v>
      </c>
      <c r="D11" s="16">
        <v>0.15</v>
      </c>
      <c r="E11" s="8">
        <v>7.0</v>
      </c>
      <c r="F11" s="8">
        <v>28.0</v>
      </c>
      <c r="G11" s="8" t="s">
        <v>353</v>
      </c>
      <c r="H11" s="8" t="s">
        <v>354</v>
      </c>
    </row>
    <row r="12">
      <c r="A12" s="8">
        <v>11.0</v>
      </c>
      <c r="B12" s="8">
        <v>2.0</v>
      </c>
      <c r="C12" s="8" t="s">
        <v>226</v>
      </c>
      <c r="D12" s="16">
        <v>0.15</v>
      </c>
      <c r="E12" s="8">
        <v>7.0</v>
      </c>
      <c r="F12" s="8">
        <v>28.0</v>
      </c>
      <c r="G12" s="8" t="s">
        <v>355</v>
      </c>
      <c r="H12" s="8" t="s">
        <v>356</v>
      </c>
    </row>
    <row r="13">
      <c r="A13" s="8">
        <v>12.0</v>
      </c>
      <c r="B13" s="8">
        <v>2.0</v>
      </c>
      <c r="C13" s="8" t="s">
        <v>226</v>
      </c>
      <c r="D13" s="16">
        <v>0.15</v>
      </c>
      <c r="E13" s="8">
        <v>7.0</v>
      </c>
      <c r="F13" s="8">
        <v>28.0</v>
      </c>
      <c r="G13" s="8" t="s">
        <v>357</v>
      </c>
      <c r="H13" s="8" t="s">
        <v>358</v>
      </c>
    </row>
    <row r="14">
      <c r="A14" s="8">
        <v>13.0</v>
      </c>
      <c r="B14" s="8">
        <v>2.0</v>
      </c>
      <c r="C14" s="8" t="s">
        <v>226</v>
      </c>
      <c r="D14" s="16">
        <v>0.15</v>
      </c>
      <c r="E14" s="8">
        <v>7.0</v>
      </c>
      <c r="F14" s="8">
        <v>28.0</v>
      </c>
      <c r="G14" s="8" t="s">
        <v>359</v>
      </c>
      <c r="H14" s="8" t="s">
        <v>360</v>
      </c>
    </row>
    <row r="15">
      <c r="A15" s="8">
        <v>14.0</v>
      </c>
      <c r="B15" s="8">
        <v>2.0</v>
      </c>
      <c r="C15" s="8" t="s">
        <v>226</v>
      </c>
      <c r="D15" s="16">
        <v>0.15</v>
      </c>
      <c r="E15" s="8">
        <v>7.0</v>
      </c>
      <c r="F15" s="8">
        <v>28.0</v>
      </c>
      <c r="G15" s="8" t="s">
        <v>361</v>
      </c>
      <c r="H15" s="8" t="s">
        <v>362</v>
      </c>
    </row>
    <row r="16">
      <c r="A16" s="8">
        <v>15.0</v>
      </c>
      <c r="B16" s="8">
        <v>3.0</v>
      </c>
      <c r="C16" s="8" t="s">
        <v>227</v>
      </c>
      <c r="D16" s="16">
        <v>0.1</v>
      </c>
      <c r="E16" s="8">
        <v>6.0</v>
      </c>
      <c r="F16" s="8">
        <v>24.0</v>
      </c>
      <c r="G16" s="8" t="s">
        <v>363</v>
      </c>
      <c r="H16" s="8" t="s">
        <v>364</v>
      </c>
    </row>
    <row r="17">
      <c r="A17" s="8">
        <v>16.0</v>
      </c>
      <c r="B17" s="8">
        <v>3.0</v>
      </c>
      <c r="C17" s="8" t="s">
        <v>227</v>
      </c>
      <c r="D17" s="16">
        <v>0.1</v>
      </c>
      <c r="E17" s="8">
        <v>6.0</v>
      </c>
      <c r="F17" s="8">
        <v>24.0</v>
      </c>
      <c r="G17" s="8" t="s">
        <v>365</v>
      </c>
      <c r="H17" s="8" t="s">
        <v>366</v>
      </c>
    </row>
    <row r="18">
      <c r="A18" s="8">
        <v>17.0</v>
      </c>
      <c r="B18" s="8">
        <v>3.0</v>
      </c>
      <c r="C18" s="8" t="s">
        <v>227</v>
      </c>
      <c r="D18" s="16">
        <v>0.1</v>
      </c>
      <c r="E18" s="8">
        <v>6.0</v>
      </c>
      <c r="F18" s="8">
        <v>24.0</v>
      </c>
      <c r="G18" s="8" t="s">
        <v>367</v>
      </c>
      <c r="H18" s="8" t="s">
        <v>368</v>
      </c>
    </row>
    <row r="19">
      <c r="A19" s="8">
        <v>18.0</v>
      </c>
      <c r="B19" s="8">
        <v>3.0</v>
      </c>
      <c r="C19" s="8" t="s">
        <v>227</v>
      </c>
      <c r="D19" s="16">
        <v>0.1</v>
      </c>
      <c r="E19" s="8">
        <v>6.0</v>
      </c>
      <c r="F19" s="8">
        <v>24.0</v>
      </c>
      <c r="G19" s="8" t="s">
        <v>369</v>
      </c>
      <c r="H19" s="8" t="s">
        <v>370</v>
      </c>
    </row>
    <row r="20">
      <c r="A20" s="8">
        <v>19.0</v>
      </c>
      <c r="B20" s="8">
        <v>3.0</v>
      </c>
      <c r="C20" s="8" t="s">
        <v>227</v>
      </c>
      <c r="D20" s="16">
        <v>0.1</v>
      </c>
      <c r="E20" s="8">
        <v>6.0</v>
      </c>
      <c r="F20" s="8">
        <v>24.0</v>
      </c>
      <c r="G20" s="8" t="s">
        <v>371</v>
      </c>
      <c r="H20" s="8" t="s">
        <v>372</v>
      </c>
    </row>
    <row r="21" ht="15.75" customHeight="1">
      <c r="A21" s="8">
        <v>20.0</v>
      </c>
      <c r="B21" s="8">
        <v>3.0</v>
      </c>
      <c r="C21" s="8" t="s">
        <v>227</v>
      </c>
      <c r="D21" s="16">
        <v>0.1</v>
      </c>
      <c r="E21" s="8">
        <v>6.0</v>
      </c>
      <c r="F21" s="8">
        <v>24.0</v>
      </c>
      <c r="G21" s="8" t="s">
        <v>373</v>
      </c>
      <c r="H21" s="8" t="s">
        <v>374</v>
      </c>
    </row>
    <row r="22" ht="15.75" customHeight="1">
      <c r="A22" s="8">
        <v>21.0</v>
      </c>
      <c r="B22" s="8">
        <v>4.0</v>
      </c>
      <c r="C22" s="8" t="s">
        <v>228</v>
      </c>
      <c r="D22" s="16">
        <v>0.13</v>
      </c>
      <c r="E22" s="8">
        <v>7.0</v>
      </c>
      <c r="F22" s="8">
        <v>28.0</v>
      </c>
      <c r="G22" s="8" t="s">
        <v>375</v>
      </c>
      <c r="H22" s="8" t="s">
        <v>376</v>
      </c>
    </row>
    <row r="23" ht="15.75" customHeight="1">
      <c r="A23" s="8">
        <v>22.0</v>
      </c>
      <c r="B23" s="8">
        <v>4.0</v>
      </c>
      <c r="C23" s="8" t="s">
        <v>228</v>
      </c>
      <c r="D23" s="16">
        <v>0.13</v>
      </c>
      <c r="E23" s="8">
        <v>7.0</v>
      </c>
      <c r="F23" s="8">
        <v>28.0</v>
      </c>
      <c r="G23" s="8" t="s">
        <v>377</v>
      </c>
      <c r="H23" s="8" t="s">
        <v>378</v>
      </c>
    </row>
    <row r="24" ht="15.75" customHeight="1">
      <c r="A24" s="8">
        <v>23.0</v>
      </c>
      <c r="B24" s="8">
        <v>4.0</v>
      </c>
      <c r="C24" s="8" t="s">
        <v>228</v>
      </c>
      <c r="D24" s="16">
        <v>0.13</v>
      </c>
      <c r="E24" s="8">
        <v>7.0</v>
      </c>
      <c r="F24" s="8">
        <v>28.0</v>
      </c>
      <c r="G24" s="8" t="s">
        <v>379</v>
      </c>
      <c r="H24" s="8" t="s">
        <v>380</v>
      </c>
    </row>
    <row r="25" ht="15.75" customHeight="1">
      <c r="A25" s="8">
        <v>24.0</v>
      </c>
      <c r="B25" s="8">
        <v>4.0</v>
      </c>
      <c r="C25" s="8" t="s">
        <v>228</v>
      </c>
      <c r="D25" s="16">
        <v>0.13</v>
      </c>
      <c r="E25" s="8">
        <v>7.0</v>
      </c>
      <c r="F25" s="8">
        <v>28.0</v>
      </c>
      <c r="G25" s="8" t="s">
        <v>381</v>
      </c>
      <c r="H25" s="8" t="s">
        <v>382</v>
      </c>
    </row>
    <row r="26" ht="15.75" customHeight="1">
      <c r="A26" s="8">
        <v>25.0</v>
      </c>
      <c r="B26" s="8">
        <v>4.0</v>
      </c>
      <c r="C26" s="8" t="s">
        <v>228</v>
      </c>
      <c r="D26" s="16">
        <v>0.13</v>
      </c>
      <c r="E26" s="8">
        <v>7.0</v>
      </c>
      <c r="F26" s="8">
        <v>28.0</v>
      </c>
      <c r="G26" s="8" t="s">
        <v>383</v>
      </c>
      <c r="H26" s="8" t="s">
        <v>384</v>
      </c>
    </row>
    <row r="27" ht="15.75" customHeight="1">
      <c r="A27" s="8">
        <v>26.0</v>
      </c>
      <c r="B27" s="8">
        <v>4.0</v>
      </c>
      <c r="C27" s="8" t="s">
        <v>228</v>
      </c>
      <c r="D27" s="16">
        <v>0.13</v>
      </c>
      <c r="E27" s="8">
        <v>7.0</v>
      </c>
      <c r="F27" s="8">
        <v>28.0</v>
      </c>
      <c r="G27" s="8" t="s">
        <v>385</v>
      </c>
      <c r="H27" s="8" t="s">
        <v>386</v>
      </c>
    </row>
    <row r="28" ht="15.75" customHeight="1">
      <c r="A28" s="8">
        <v>27.0</v>
      </c>
      <c r="B28" s="8">
        <v>4.0</v>
      </c>
      <c r="C28" s="8" t="s">
        <v>228</v>
      </c>
      <c r="D28" s="16">
        <v>0.13</v>
      </c>
      <c r="E28" s="8">
        <v>7.0</v>
      </c>
      <c r="F28" s="8">
        <v>28.0</v>
      </c>
      <c r="G28" s="8" t="s">
        <v>387</v>
      </c>
      <c r="H28" s="8" t="s">
        <v>388</v>
      </c>
    </row>
    <row r="29" ht="15.75" customHeight="1">
      <c r="A29" s="8">
        <v>28.0</v>
      </c>
      <c r="B29" s="8">
        <v>5.0</v>
      </c>
      <c r="C29" s="8" t="s">
        <v>231</v>
      </c>
      <c r="D29" s="16">
        <v>0.2</v>
      </c>
      <c r="E29" s="8">
        <v>7.0</v>
      </c>
      <c r="F29" s="8">
        <v>28.0</v>
      </c>
      <c r="G29" s="8" t="s">
        <v>389</v>
      </c>
      <c r="H29" s="8" t="s">
        <v>390</v>
      </c>
    </row>
    <row r="30" ht="15.75" customHeight="1">
      <c r="A30" s="8">
        <v>29.0</v>
      </c>
      <c r="B30" s="8">
        <v>5.0</v>
      </c>
      <c r="C30" s="8" t="s">
        <v>231</v>
      </c>
      <c r="D30" s="16">
        <v>0.2</v>
      </c>
      <c r="E30" s="8">
        <v>7.0</v>
      </c>
      <c r="F30" s="8">
        <v>28.0</v>
      </c>
      <c r="G30" s="8" t="s">
        <v>391</v>
      </c>
      <c r="H30" s="8" t="s">
        <v>392</v>
      </c>
    </row>
    <row r="31" ht="15.75" customHeight="1">
      <c r="A31" s="8">
        <v>30.0</v>
      </c>
      <c r="B31" s="8">
        <v>5.0</v>
      </c>
      <c r="C31" s="8" t="s">
        <v>231</v>
      </c>
      <c r="D31" s="16">
        <v>0.2</v>
      </c>
      <c r="E31" s="8">
        <v>7.0</v>
      </c>
      <c r="F31" s="8">
        <v>28.0</v>
      </c>
      <c r="G31" s="8" t="s">
        <v>393</v>
      </c>
      <c r="H31" s="8" t="s">
        <v>394</v>
      </c>
    </row>
    <row r="32" ht="15.75" customHeight="1">
      <c r="A32" s="8">
        <v>31.0</v>
      </c>
      <c r="B32" s="8">
        <v>5.0</v>
      </c>
      <c r="C32" s="8" t="s">
        <v>231</v>
      </c>
      <c r="D32" s="16">
        <v>0.2</v>
      </c>
      <c r="E32" s="8">
        <v>7.0</v>
      </c>
      <c r="F32" s="8">
        <v>28.0</v>
      </c>
      <c r="G32" s="8" t="s">
        <v>395</v>
      </c>
      <c r="H32" s="8" t="s">
        <v>396</v>
      </c>
    </row>
    <row r="33" ht="15.75" customHeight="1">
      <c r="A33" s="8">
        <v>32.0</v>
      </c>
      <c r="B33" s="8">
        <v>5.0</v>
      </c>
      <c r="C33" s="8" t="s">
        <v>231</v>
      </c>
      <c r="D33" s="16">
        <v>0.2</v>
      </c>
      <c r="E33" s="8">
        <v>7.0</v>
      </c>
      <c r="F33" s="8">
        <v>28.0</v>
      </c>
      <c r="G33" s="8" t="s">
        <v>397</v>
      </c>
      <c r="H33" s="8" t="s">
        <v>398</v>
      </c>
    </row>
    <row r="34" ht="15.75" customHeight="1">
      <c r="A34" s="8">
        <v>33.0</v>
      </c>
      <c r="B34" s="8">
        <v>5.0</v>
      </c>
      <c r="C34" s="8" t="s">
        <v>231</v>
      </c>
      <c r="D34" s="16">
        <v>0.2</v>
      </c>
      <c r="E34" s="8">
        <v>7.0</v>
      </c>
      <c r="F34" s="8">
        <v>28.0</v>
      </c>
      <c r="G34" s="8" t="s">
        <v>399</v>
      </c>
      <c r="H34" s="8" t="s">
        <v>400</v>
      </c>
    </row>
    <row r="35" ht="15.75" customHeight="1">
      <c r="A35" s="8">
        <v>34.0</v>
      </c>
      <c r="B35" s="8">
        <v>5.0</v>
      </c>
      <c r="C35" s="8" t="s">
        <v>231</v>
      </c>
      <c r="D35" s="16">
        <v>0.2</v>
      </c>
      <c r="E35" s="8">
        <v>7.0</v>
      </c>
      <c r="F35" s="8">
        <v>28.0</v>
      </c>
      <c r="G35" s="8" t="s">
        <v>401</v>
      </c>
      <c r="H35" s="8" t="s">
        <v>402</v>
      </c>
    </row>
    <row r="36" ht="15.75" customHeight="1">
      <c r="A36" s="8">
        <v>35.0</v>
      </c>
      <c r="B36" s="8">
        <v>6.0</v>
      </c>
      <c r="C36" s="8" t="s">
        <v>232</v>
      </c>
      <c r="D36" s="16">
        <v>0.18</v>
      </c>
      <c r="E36" s="8">
        <v>7.0</v>
      </c>
      <c r="F36" s="8">
        <v>28.0</v>
      </c>
      <c r="G36" s="8" t="s">
        <v>403</v>
      </c>
      <c r="H36" s="8" t="s">
        <v>404</v>
      </c>
    </row>
    <row r="37" ht="15.75" customHeight="1">
      <c r="A37" s="8">
        <v>36.0</v>
      </c>
      <c r="B37" s="8">
        <v>6.0</v>
      </c>
      <c r="C37" s="8" t="s">
        <v>232</v>
      </c>
      <c r="D37" s="16">
        <v>0.18</v>
      </c>
      <c r="E37" s="8">
        <v>7.0</v>
      </c>
      <c r="F37" s="8">
        <v>28.0</v>
      </c>
      <c r="G37" s="8" t="s">
        <v>405</v>
      </c>
      <c r="H37" s="8" t="s">
        <v>406</v>
      </c>
    </row>
    <row r="38" ht="15.75" customHeight="1">
      <c r="A38" s="8">
        <v>37.0</v>
      </c>
      <c r="B38" s="8">
        <v>6.0</v>
      </c>
      <c r="C38" s="8" t="s">
        <v>232</v>
      </c>
      <c r="D38" s="16">
        <v>0.18</v>
      </c>
      <c r="E38" s="8">
        <v>7.0</v>
      </c>
      <c r="F38" s="8">
        <v>28.0</v>
      </c>
      <c r="G38" s="8" t="s">
        <v>417</v>
      </c>
      <c r="H38" s="8" t="s">
        <v>418</v>
      </c>
    </row>
    <row r="39" ht="15.75" customHeight="1">
      <c r="A39" s="8">
        <v>38.0</v>
      </c>
      <c r="B39" s="8">
        <v>6.0</v>
      </c>
      <c r="C39" s="8" t="s">
        <v>232</v>
      </c>
      <c r="D39" s="16">
        <v>0.18</v>
      </c>
      <c r="E39" s="8">
        <v>7.0</v>
      </c>
      <c r="F39" s="8">
        <v>28.0</v>
      </c>
      <c r="G39" s="8" t="s">
        <v>419</v>
      </c>
      <c r="H39" s="8" t="s">
        <v>420</v>
      </c>
    </row>
    <row r="40" ht="15.75" customHeight="1">
      <c r="A40" s="8">
        <v>39.0</v>
      </c>
      <c r="B40" s="8">
        <v>6.0</v>
      </c>
      <c r="C40" s="8" t="s">
        <v>232</v>
      </c>
      <c r="D40" s="16">
        <v>0.18</v>
      </c>
      <c r="E40" s="8">
        <v>7.0</v>
      </c>
      <c r="F40" s="8">
        <v>28.0</v>
      </c>
      <c r="G40" s="8" t="s">
        <v>421</v>
      </c>
      <c r="H40" s="8" t="s">
        <v>422</v>
      </c>
    </row>
    <row r="41" ht="15.75" customHeight="1">
      <c r="A41" s="8">
        <v>40.0</v>
      </c>
      <c r="B41" s="8">
        <v>6.0</v>
      </c>
      <c r="C41" s="8" t="s">
        <v>232</v>
      </c>
      <c r="D41" s="16">
        <v>0.18</v>
      </c>
      <c r="E41" s="8">
        <v>7.0</v>
      </c>
      <c r="F41" s="8">
        <v>28.0</v>
      </c>
      <c r="G41" s="8" t="s">
        <v>423</v>
      </c>
      <c r="H41" s="8" t="s">
        <v>424</v>
      </c>
    </row>
    <row r="42" ht="15.75" customHeight="1">
      <c r="A42" s="8">
        <v>41.0</v>
      </c>
      <c r="B42" s="8">
        <v>6.0</v>
      </c>
      <c r="C42" s="8" t="s">
        <v>232</v>
      </c>
      <c r="D42" s="16">
        <v>0.18</v>
      </c>
      <c r="E42" s="8">
        <v>7.0</v>
      </c>
      <c r="F42" s="8">
        <v>28.0</v>
      </c>
      <c r="G42" s="8" t="s">
        <v>425</v>
      </c>
      <c r="H42" s="8" t="s">
        <v>426</v>
      </c>
    </row>
    <row r="43" ht="15.75" customHeight="1">
      <c r="A43" s="8">
        <v>42.0</v>
      </c>
      <c r="B43" s="8">
        <v>7.0</v>
      </c>
      <c r="C43" s="8" t="s">
        <v>238</v>
      </c>
      <c r="D43" s="16">
        <v>0.05</v>
      </c>
      <c r="E43" s="8">
        <v>5.0</v>
      </c>
      <c r="F43" s="8">
        <v>20.0</v>
      </c>
      <c r="G43" s="8" t="s">
        <v>427</v>
      </c>
      <c r="H43" s="8" t="s">
        <v>428</v>
      </c>
    </row>
    <row r="44" ht="15.75" customHeight="1">
      <c r="A44" s="8">
        <v>43.0</v>
      </c>
      <c r="B44" s="8">
        <v>7.0</v>
      </c>
      <c r="C44" s="8" t="s">
        <v>238</v>
      </c>
      <c r="D44" s="16">
        <v>0.05</v>
      </c>
      <c r="E44" s="8">
        <v>5.0</v>
      </c>
      <c r="F44" s="8">
        <v>20.0</v>
      </c>
      <c r="G44" s="8" t="s">
        <v>429</v>
      </c>
      <c r="H44" s="8" t="s">
        <v>430</v>
      </c>
    </row>
    <row r="45" ht="15.75" customHeight="1">
      <c r="A45" s="8">
        <v>44.0</v>
      </c>
      <c r="B45" s="8">
        <v>7.0</v>
      </c>
      <c r="C45" s="8" t="s">
        <v>238</v>
      </c>
      <c r="D45" s="16">
        <v>0.05</v>
      </c>
      <c r="E45" s="8">
        <v>5.0</v>
      </c>
      <c r="F45" s="8">
        <v>20.0</v>
      </c>
      <c r="G45" s="8" t="s">
        <v>431</v>
      </c>
      <c r="H45" s="8" t="s">
        <v>432</v>
      </c>
    </row>
    <row r="46" ht="15.75" customHeight="1">
      <c r="A46" s="8">
        <v>45.0</v>
      </c>
      <c r="B46" s="8">
        <v>7.0</v>
      </c>
      <c r="C46" s="8" t="s">
        <v>238</v>
      </c>
      <c r="D46" s="16">
        <v>0.05</v>
      </c>
      <c r="E46" s="8">
        <v>5.0</v>
      </c>
      <c r="F46" s="8">
        <v>20.0</v>
      </c>
      <c r="G46" s="8" t="s">
        <v>433</v>
      </c>
      <c r="H46" s="8" t="s">
        <v>434</v>
      </c>
    </row>
    <row r="47" ht="15.75" customHeight="1">
      <c r="A47" s="8">
        <v>46.0</v>
      </c>
      <c r="B47" s="8">
        <v>7.0</v>
      </c>
      <c r="C47" s="8" t="s">
        <v>238</v>
      </c>
      <c r="D47" s="16">
        <v>0.05</v>
      </c>
      <c r="E47" s="8">
        <v>5.0</v>
      </c>
      <c r="F47" s="8">
        <v>20.0</v>
      </c>
      <c r="G47" s="8" t="s">
        <v>436</v>
      </c>
      <c r="H47" s="8" t="s">
        <v>437</v>
      </c>
    </row>
    <row r="48" ht="15.75" customHeight="1">
      <c r="A48" s="8">
        <v>47.0</v>
      </c>
      <c r="B48" s="8">
        <v>8.0</v>
      </c>
      <c r="C48" s="8" t="s">
        <v>244</v>
      </c>
      <c r="D48" s="16">
        <v>0.07</v>
      </c>
      <c r="E48" s="8">
        <v>4.0</v>
      </c>
      <c r="F48" s="8">
        <v>16.0</v>
      </c>
      <c r="G48" s="8" t="s">
        <v>440</v>
      </c>
      <c r="H48" s="8" t="s">
        <v>441</v>
      </c>
    </row>
    <row r="49" ht="15.75" customHeight="1">
      <c r="A49" s="8">
        <v>48.0</v>
      </c>
      <c r="B49" s="8">
        <v>8.0</v>
      </c>
      <c r="C49" s="8" t="s">
        <v>244</v>
      </c>
      <c r="D49" s="16">
        <v>0.07</v>
      </c>
      <c r="E49" s="8">
        <v>4.0</v>
      </c>
      <c r="F49" s="8">
        <v>16.0</v>
      </c>
      <c r="G49" s="8" t="s">
        <v>442</v>
      </c>
      <c r="H49" s="8" t="s">
        <v>443</v>
      </c>
    </row>
    <row r="50" ht="15.75" customHeight="1">
      <c r="A50" s="8">
        <v>49.0</v>
      </c>
      <c r="B50" s="8">
        <v>8.0</v>
      </c>
      <c r="C50" s="8" t="s">
        <v>244</v>
      </c>
      <c r="D50" s="16">
        <v>0.07</v>
      </c>
      <c r="E50" s="8">
        <v>4.0</v>
      </c>
      <c r="F50" s="8">
        <v>16.0</v>
      </c>
      <c r="G50" s="8" t="s">
        <v>444</v>
      </c>
      <c r="H50" s="8" t="s">
        <v>445</v>
      </c>
    </row>
    <row r="51" ht="15.75" customHeight="1">
      <c r="A51" s="8">
        <v>50.0</v>
      </c>
      <c r="B51" s="8">
        <v>8.0</v>
      </c>
      <c r="C51" s="8" t="s">
        <v>244</v>
      </c>
      <c r="D51" s="16">
        <v>0.07</v>
      </c>
      <c r="E51" s="8">
        <v>4.0</v>
      </c>
      <c r="F51" s="8">
        <v>16.0</v>
      </c>
      <c r="G51" s="8" t="s">
        <v>446</v>
      </c>
      <c r="H51" s="8" t="s">
        <v>447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8.0"/>
    <col customWidth="1" min="4" max="26" width="8.86"/>
  </cols>
  <sheetData>
    <row r="1">
      <c r="A1" s="17" t="s">
        <v>79</v>
      </c>
      <c r="B1" s="17" t="s">
        <v>4</v>
      </c>
      <c r="C1" s="17" t="s">
        <v>14</v>
      </c>
    </row>
    <row r="2">
      <c r="A2" s="18">
        <v>0.0</v>
      </c>
      <c r="B2" s="18" t="s">
        <v>114</v>
      </c>
      <c r="C2" s="18" t="s">
        <v>407</v>
      </c>
    </row>
    <row r="3">
      <c r="A3" s="18">
        <v>1.0</v>
      </c>
      <c r="B3" s="18" t="s">
        <v>408</v>
      </c>
      <c r="C3" s="18" t="s">
        <v>409</v>
      </c>
    </row>
    <row r="4">
      <c r="A4" s="18">
        <v>2.0</v>
      </c>
      <c r="B4" s="18" t="s">
        <v>410</v>
      </c>
      <c r="C4" s="18" t="s">
        <v>411</v>
      </c>
    </row>
    <row r="5">
      <c r="A5" s="18">
        <v>3.0</v>
      </c>
      <c r="B5" s="18" t="s">
        <v>412</v>
      </c>
      <c r="C5" s="18" t="s">
        <v>413</v>
      </c>
    </row>
    <row r="6">
      <c r="A6" s="18">
        <v>4.0</v>
      </c>
      <c r="B6" s="18" t="s">
        <v>414</v>
      </c>
      <c r="C6" s="18" t="s">
        <v>415</v>
      </c>
    </row>
    <row r="7">
      <c r="C7" s="18" t="s">
        <v>416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0.0"/>
    <col customWidth="1" min="2" max="26" width="8.86"/>
  </cols>
  <sheetData>
    <row r="1">
      <c r="A1" s="19" t="s">
        <v>435</v>
      </c>
      <c r="B1" s="3"/>
      <c r="C1" s="3"/>
      <c r="D1" s="3"/>
      <c r="E1" s="3"/>
      <c r="F1" s="3"/>
      <c r="G1" s="3"/>
      <c r="H1" s="4"/>
    </row>
    <row r="3">
      <c r="A3" s="17" t="s">
        <v>438</v>
      </c>
    </row>
    <row r="4" ht="409.5" customHeight="1">
      <c r="A4" s="6" t="s">
        <v>439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1.0" footer="0.0" header="0.0" left="0.75" right="0.75" top="1.0"/>
  <pageSetup orientation="landscape"/>
  <drawing r:id="rId1"/>
</worksheet>
</file>